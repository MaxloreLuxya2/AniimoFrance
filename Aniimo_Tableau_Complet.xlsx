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Aniimos" sheetId="1" state="visible" r:id="rId1"/>
    <sheet xmlns:r="http://schemas.openxmlformats.org/officeDocument/2006/relationships" name="Métiers" sheetId="2" state="visible" r:id="rId2"/>
    <sheet xmlns:r="http://schemas.openxmlformats.org/officeDocument/2006/relationships" name="Puissance des compétences" sheetId="3" state="visible" r:id="rId3"/>
    <sheet xmlns:r="http://schemas.openxmlformats.org/officeDocument/2006/relationships" name="Team Fulmintis" sheetId="4" state="visible" r:id="rId4"/>
    <sheet xmlns:r="http://schemas.openxmlformats.org/officeDocument/2006/relationships" name="DPS" sheetId="5" state="visible" r:id="rId5"/>
    <sheet xmlns:r="http://schemas.openxmlformats.org/officeDocument/2006/relationships" name="HEAL" sheetId="6" state="visible" r:id="rId6"/>
    <sheet xmlns:r="http://schemas.openxmlformats.org/officeDocument/2006/relationships" name="BREAK" sheetId="7" state="visible" r:id="rId7"/>
    <sheet xmlns:r="http://schemas.openxmlformats.org/officeDocument/2006/relationships" name="SUPPORT" sheetId="8" state="visible" r:id="rId8"/>
    <sheet xmlns:r="http://schemas.openxmlformats.org/officeDocument/2006/relationships" name="REGEN" sheetId="9" state="visible" r:id="rId9"/>
    <sheet xmlns:r="http://schemas.openxmlformats.org/officeDocument/2006/relationships" name="Légende &amp; Sources" sheetId="10" state="visible" r:id="rId10"/>
  </sheets>
  <definedNames>
    <definedName name="_xlnm._FilterDatabase" localSheetId="0" hidden="1">'Tous les Aniimos'!$A$4:$P$98</definedName>
    <definedName name="_xlnm._FilterDatabase" localSheetId="1" hidden="1">'Métiers'!$A$20:$G$114</definedName>
    <definedName name="_xlnm._FilterDatabase" localSheetId="2" hidden="1">'Puissance des compétences'!$A$4:$N$98</definedName>
    <definedName name="_xlnm._FilterDatabase" localSheetId="4" hidden="1">'DPS'!$A$4:$P$37</definedName>
    <definedName name="_xlnm._FilterDatabase" localSheetId="5" hidden="1">'HEAL'!$A$4:$P$11</definedName>
    <definedName name="_xlnm._FilterDatabase" localSheetId="6" hidden="1">'BREAK'!$A$4:$P$30</definedName>
    <definedName name="_xlnm._FilterDatabase" localSheetId="7" hidden="1">'SUPPORT'!$A$4:$P$22</definedName>
    <definedName name="_xlnm._FilterDatabase" localSheetId="8" hidden="1">'REGEN'!$A$4:$P$14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-"/>
  </numFmts>
  <fonts count="2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3D2E00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7F6000"/>
      <sz val="10"/>
    </font>
    <font>
      <name val="Arial"/>
      <i val="1"/>
      <color rgb="00A6A6A6"/>
      <sz val="10"/>
    </font>
    <font>
      <name val="Arial"/>
      <color rgb="00A6A6A6"/>
      <sz val="10"/>
    </font>
    <font>
      <name val="Arial"/>
      <b val="1"/>
      <color rgb="004A3B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i val="1"/>
      <color rgb="00808080"/>
      <sz val="10"/>
    </font>
    <font>
      <name val="Arial"/>
      <b val="1"/>
      <color rgb="001F3864"/>
      <sz val="12"/>
    </font>
    <font>
      <name val="Arial"/>
      <b val="1"/>
      <color rgb="00FFFFFF"/>
      <sz val="12"/>
    </font>
    <font>
      <name val="Arial"/>
      <color rgb="00404040"/>
      <sz val="9"/>
    </font>
    <font>
      <name val="Arial"/>
      <b val="1"/>
      <color rgb="007F6000"/>
      <sz val="11"/>
    </font>
    <font>
      <name val="Arial"/>
      <b val="1"/>
      <color rgb="001F3864"/>
      <sz val="11"/>
    </font>
  </fonts>
  <fills count="3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2A06A"/>
      </patternFill>
    </fill>
    <fill>
      <patternFill patternType="solid">
        <fgColor rgb="00E0A800"/>
      </patternFill>
    </fill>
    <fill>
      <patternFill patternType="solid">
        <fgColor rgb="00C1622D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E8A200"/>
      </patternFill>
    </fill>
    <fill>
      <patternFill patternType="solid">
        <fgColor rgb="00E8702A"/>
      </patternFill>
    </fill>
    <fill>
      <patternFill patternType="solid">
        <fgColor rgb="00D9D9D9"/>
      </patternFill>
    </fill>
    <fill>
      <patternFill patternType="solid">
        <fgColor rgb="006636A8"/>
      </patternFill>
    </fill>
    <fill>
      <patternFill patternType="solid">
        <fgColor rgb="002F6DB5"/>
      </patternFill>
    </fill>
    <fill>
      <patternFill patternType="solid">
        <fgColor rgb="00FCE4A6"/>
      </patternFill>
    </fill>
    <fill>
      <patternFill patternType="solid">
        <fgColor rgb="00E8B77A"/>
      </patternFill>
    </fill>
    <fill>
      <patternFill patternType="solid">
        <fgColor rgb="008F5A2B"/>
      </patternFill>
    </fill>
    <fill>
      <patternFill patternType="solid">
        <fgColor rgb="002FA8C4"/>
      </patternFill>
    </fill>
    <fill>
      <patternFill patternType="solid">
        <fgColor rgb="004C9A3F"/>
      </patternFill>
    </fill>
    <fill>
      <patternFill patternType="solid">
        <fgColor rgb="00FFD24D"/>
      </patternFill>
    </fill>
    <fill>
      <patternFill patternType="solid">
        <fgColor rgb="001668C4"/>
      </patternFill>
    </fill>
    <fill>
      <patternFill patternType="solid">
        <fgColor rgb="002E8B3D"/>
      </patternFill>
    </fill>
    <fill>
      <patternFill patternType="solid">
        <fgColor rgb="00F2C200"/>
      </patternFill>
    </fill>
    <fill>
      <patternFill patternType="solid">
        <fgColor rgb="00D93A17"/>
      </patternFill>
    </fill>
    <fill>
      <patternFill patternType="solid">
        <fgColor rgb="008E5FBF"/>
      </patternFill>
    </fill>
    <fill>
      <patternFill patternType="solid">
        <fgColor rgb="00B5457E"/>
      </patternFill>
    </fill>
    <fill>
      <patternFill patternType="solid">
        <fgColor rgb="003FA45B"/>
      </patternFill>
    </fill>
    <fill>
      <patternFill patternType="solid">
        <fgColor rgb="003F6FB5"/>
      </patternFill>
    </fill>
    <fill>
      <patternFill patternType="solid">
        <fgColor rgb="00D9EAD3"/>
      </patternFill>
    </fill>
    <fill>
      <patternFill patternType="solid">
        <fgColor rgb="00C0504D"/>
      </patternFill>
    </fill>
    <fill>
      <patternFill patternType="solid">
        <fgColor rgb="004F6BAF"/>
      </patternFill>
    </fill>
    <fill>
      <patternFill patternType="solid">
        <fgColor rgb="0057A77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left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15" fillId="1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27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/>
    </xf>
    <xf numFmtId="0" fontId="3" fillId="2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10" fillId="31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left" vertical="center" wrapText="1"/>
    </xf>
    <xf numFmtId="0" fontId="10" fillId="31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Aniimo</author>
  </authors>
  <commentList>
    <comment ref="F11" authorId="0" shapeId="0">
      <text>
        <t>kit Physique, Fire Bolt Magique</t>
      </text>
    </comment>
    <comment ref="F13" authorId="0" shapeId="0">
      <text>
        <t>kit Physique, ultime Wolfpack Onslaught Magique</t>
      </text>
    </comment>
    <comment ref="F22" authorId="0" shapeId="0">
      <text>
        <t>kit Physique, Wild Show Magique</t>
      </text>
    </comment>
    <comment ref="F30" authorId="0" shapeId="0">
      <text>
        <t>kit Physique, ultime Thunder Lance Magique</t>
      </text>
    </comment>
    <comment ref="F33" authorId="0" shapeId="0">
      <text>
        <t>kit Physique, Haunting Choir Magique</t>
      </text>
    </comment>
    <comment ref="F37" authorId="0" shapeId="0">
      <text>
        <t>kit Physique, Zephyr's Breath Magique</t>
      </text>
    </comment>
    <comment ref="F43" authorId="0" shapeId="0">
      <text>
        <t>kit Physique, Beat of Passion Magique</t>
      </text>
    </comment>
    <comment ref="F45" authorId="0" shapeId="0">
      <text>
        <t>Fire Kick Physique, Fire Bolt Magique</t>
      </text>
    </comment>
    <comment ref="F46" authorId="0" shapeId="0">
      <text>
        <t>kit Physique, Fire Bolt Magique</t>
      </text>
    </comment>
    <comment ref="F77" authorId="0" shapeId="0">
      <text>
        <t>kit Magique, Blossoming Moment Physique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/Relationships>
</file>

<file path=xl/drawings/_rels/drawing2.xml.rels><Relationships xmlns="http://schemas.openxmlformats.org/package/2006/relationships"><Relationship Type="http://schemas.openxmlformats.org/officeDocument/2006/relationships/image" Target="/xl/media/image95.png" Id="rId1"/><Relationship Type="http://schemas.openxmlformats.org/officeDocument/2006/relationships/image" Target="/xl/media/image96.png" Id="rId2"/><Relationship Type="http://schemas.openxmlformats.org/officeDocument/2006/relationships/image" Target="/xl/media/image97.png" Id="rId3"/><Relationship Type="http://schemas.openxmlformats.org/officeDocument/2006/relationships/image" Target="/xl/media/image98.png" Id="rId4"/><Relationship Type="http://schemas.openxmlformats.org/officeDocument/2006/relationships/image" Target="/xl/media/image99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0.png" Id="rId1"/><Relationship Type="http://schemas.openxmlformats.org/officeDocument/2006/relationships/image" Target="/xl/media/image101.png" Id="rId2"/><Relationship Type="http://schemas.openxmlformats.org/officeDocument/2006/relationships/image" Target="/xl/media/image102.png" Id="rId3"/><Relationship Type="http://schemas.openxmlformats.org/officeDocument/2006/relationships/image" Target="/xl/media/image103.png" Id="rId4"/><Relationship Type="http://schemas.openxmlformats.org/officeDocument/2006/relationships/image" Target="/xl/media/image104.png" Id="rId5"/><Relationship Type="http://schemas.openxmlformats.org/officeDocument/2006/relationships/image" Target="/xl/media/image105.png" Id="rId6"/><Relationship Type="http://schemas.openxmlformats.org/officeDocument/2006/relationships/image" Target="/xl/media/image106.png" Id="rId7"/><Relationship Type="http://schemas.openxmlformats.org/officeDocument/2006/relationships/image" Target="/xl/media/image107.png" Id="rId8"/><Relationship Type="http://schemas.openxmlformats.org/officeDocument/2006/relationships/image" Target="/xl/media/image108.png" Id="rId9"/><Relationship Type="http://schemas.openxmlformats.org/officeDocument/2006/relationships/image" Target="/xl/media/image109.png" Id="rId10"/><Relationship Type="http://schemas.openxmlformats.org/officeDocument/2006/relationships/image" Target="/xl/media/image110.png" Id="rId11"/><Relationship Type="http://schemas.openxmlformats.org/officeDocument/2006/relationships/image" Target="/xl/media/image111.png" Id="rId12"/><Relationship Type="http://schemas.openxmlformats.org/officeDocument/2006/relationships/image" Target="/xl/media/image112.png" Id="rId13"/><Relationship Type="http://schemas.openxmlformats.org/officeDocument/2006/relationships/image" Target="/xl/media/image113.png" Id="rId14"/><Relationship Type="http://schemas.openxmlformats.org/officeDocument/2006/relationships/image" Target="/xl/media/image114.png" Id="rId15"/><Relationship Type="http://schemas.openxmlformats.org/officeDocument/2006/relationships/image" Target="/xl/media/image115.png" Id="rId16"/><Relationship Type="http://schemas.openxmlformats.org/officeDocument/2006/relationships/image" Target="/xl/media/image116.png" Id="rId17"/><Relationship Type="http://schemas.openxmlformats.org/officeDocument/2006/relationships/image" Target="/xl/media/image117.png" Id="rId18"/><Relationship Type="http://schemas.openxmlformats.org/officeDocument/2006/relationships/image" Target="/xl/media/image118.png" Id="rId19"/><Relationship Type="http://schemas.openxmlformats.org/officeDocument/2006/relationships/image" Target="/xl/media/image119.png" Id="rId20"/><Relationship Type="http://schemas.openxmlformats.org/officeDocument/2006/relationships/image" Target="/xl/media/image120.png" Id="rId21"/><Relationship Type="http://schemas.openxmlformats.org/officeDocument/2006/relationships/image" Target="/xl/media/image121.png" Id="rId22"/><Relationship Type="http://schemas.openxmlformats.org/officeDocument/2006/relationships/image" Target="/xl/media/image122.png" Id="rId23"/><Relationship Type="http://schemas.openxmlformats.org/officeDocument/2006/relationships/image" Target="/xl/media/image123.png" Id="rId24"/><Relationship Type="http://schemas.openxmlformats.org/officeDocument/2006/relationships/image" Target="/xl/media/image124.png" Id="rId25"/><Relationship Type="http://schemas.openxmlformats.org/officeDocument/2006/relationships/image" Target="/xl/media/image125.png" Id="rId26"/><Relationship Type="http://schemas.openxmlformats.org/officeDocument/2006/relationships/image" Target="/xl/media/image126.png" Id="rId27"/><Relationship Type="http://schemas.openxmlformats.org/officeDocument/2006/relationships/image" Target="/xl/media/image127.png" Id="rId28"/><Relationship Type="http://schemas.openxmlformats.org/officeDocument/2006/relationships/image" Target="/xl/media/image128.png" Id="rId29"/><Relationship Type="http://schemas.openxmlformats.org/officeDocument/2006/relationships/image" Target="/xl/media/image129.png" Id="rId30"/><Relationship Type="http://schemas.openxmlformats.org/officeDocument/2006/relationships/image" Target="/xl/media/image130.png" Id="rId31"/><Relationship Type="http://schemas.openxmlformats.org/officeDocument/2006/relationships/image" Target="/xl/media/image131.png" Id="rId32"/><Relationship Type="http://schemas.openxmlformats.org/officeDocument/2006/relationships/image" Target="/xl/media/image132.png" Id="rId33"/><Relationship Type="http://schemas.openxmlformats.org/officeDocument/2006/relationships/image" Target="/xl/media/image133.png" Id="rId34"/><Relationship Type="http://schemas.openxmlformats.org/officeDocument/2006/relationships/image" Target="/xl/media/image134.png" Id="rId35"/><Relationship Type="http://schemas.openxmlformats.org/officeDocument/2006/relationships/image" Target="/xl/media/image135.png" Id="rId36"/><Relationship Type="http://schemas.openxmlformats.org/officeDocument/2006/relationships/image" Target="/xl/media/image136.png" Id="rId37"/><Relationship Type="http://schemas.openxmlformats.org/officeDocument/2006/relationships/image" Target="/xl/media/image137.png" Id="rId38"/><Relationship Type="http://schemas.openxmlformats.org/officeDocument/2006/relationships/image" Target="/xl/media/image138.png" Id="rId39"/><Relationship Type="http://schemas.openxmlformats.org/officeDocument/2006/relationships/image" Target="/xl/media/image139.png" Id="rId40"/><Relationship Type="http://schemas.openxmlformats.org/officeDocument/2006/relationships/image" Target="/xl/media/image140.png" Id="rId41"/><Relationship Type="http://schemas.openxmlformats.org/officeDocument/2006/relationships/image" Target="/xl/media/image141.png" Id="rId42"/><Relationship Type="http://schemas.openxmlformats.org/officeDocument/2006/relationships/image" Target="/xl/media/image142.png" Id="rId43"/><Relationship Type="http://schemas.openxmlformats.org/officeDocument/2006/relationships/image" Target="/xl/media/image143.png" Id="rId44"/><Relationship Type="http://schemas.openxmlformats.org/officeDocument/2006/relationships/image" Target="/xl/media/image144.png" Id="rId45"/><Relationship Type="http://schemas.openxmlformats.org/officeDocument/2006/relationships/image" Target="/xl/media/image145.png" Id="rId46"/><Relationship Type="http://schemas.openxmlformats.org/officeDocument/2006/relationships/image" Target="/xl/media/image146.png" Id="rId47"/><Relationship Type="http://schemas.openxmlformats.org/officeDocument/2006/relationships/image" Target="/xl/media/image147.png" Id="rId48"/><Relationship Type="http://schemas.openxmlformats.org/officeDocument/2006/relationships/image" Target="/xl/media/image148.png" Id="rId49"/><Relationship Type="http://schemas.openxmlformats.org/officeDocument/2006/relationships/image" Target="/xl/media/image149.png" Id="rId50"/><Relationship Type="http://schemas.openxmlformats.org/officeDocument/2006/relationships/image" Target="/xl/media/image150.png" Id="rId51"/><Relationship Type="http://schemas.openxmlformats.org/officeDocument/2006/relationships/image" Target="/xl/media/image151.png" Id="rId52"/><Relationship Type="http://schemas.openxmlformats.org/officeDocument/2006/relationships/image" Target="/xl/media/image152.png" Id="rId53"/><Relationship Type="http://schemas.openxmlformats.org/officeDocument/2006/relationships/image" Target="/xl/media/image153.png" Id="rId54"/><Relationship Type="http://schemas.openxmlformats.org/officeDocument/2006/relationships/image" Target="/xl/media/image154.png" Id="rId55"/><Relationship Type="http://schemas.openxmlformats.org/officeDocument/2006/relationships/image" Target="/xl/media/image155.png" Id="rId56"/><Relationship Type="http://schemas.openxmlformats.org/officeDocument/2006/relationships/image" Target="/xl/media/image156.png" Id="rId57"/><Relationship Type="http://schemas.openxmlformats.org/officeDocument/2006/relationships/image" Target="/xl/media/image157.png" Id="rId58"/><Relationship Type="http://schemas.openxmlformats.org/officeDocument/2006/relationships/image" Target="/xl/media/image158.png" Id="rId59"/><Relationship Type="http://schemas.openxmlformats.org/officeDocument/2006/relationships/image" Target="/xl/media/image159.png" Id="rId60"/><Relationship Type="http://schemas.openxmlformats.org/officeDocument/2006/relationships/image" Target="/xl/media/image160.png" Id="rId61"/><Relationship Type="http://schemas.openxmlformats.org/officeDocument/2006/relationships/image" Target="/xl/media/image161.png" Id="rId62"/><Relationship Type="http://schemas.openxmlformats.org/officeDocument/2006/relationships/image" Target="/xl/media/image162.png" Id="rId63"/><Relationship Type="http://schemas.openxmlformats.org/officeDocument/2006/relationships/image" Target="/xl/media/image163.png" Id="rId64"/><Relationship Type="http://schemas.openxmlformats.org/officeDocument/2006/relationships/image" Target="/xl/media/image164.png" Id="rId65"/><Relationship Type="http://schemas.openxmlformats.org/officeDocument/2006/relationships/image" Target="/xl/media/image165.png" Id="rId66"/><Relationship Type="http://schemas.openxmlformats.org/officeDocument/2006/relationships/image" Target="/xl/media/image166.png" Id="rId67"/><Relationship Type="http://schemas.openxmlformats.org/officeDocument/2006/relationships/image" Target="/xl/media/image167.png" Id="rId68"/><Relationship Type="http://schemas.openxmlformats.org/officeDocument/2006/relationships/image" Target="/xl/media/image168.png" Id="rId69"/><Relationship Type="http://schemas.openxmlformats.org/officeDocument/2006/relationships/image" Target="/xl/media/image169.png" Id="rId70"/><Relationship Type="http://schemas.openxmlformats.org/officeDocument/2006/relationships/image" Target="/xl/media/image170.png" Id="rId71"/><Relationship Type="http://schemas.openxmlformats.org/officeDocument/2006/relationships/image" Target="/xl/media/image171.png" Id="rId72"/><Relationship Type="http://schemas.openxmlformats.org/officeDocument/2006/relationships/image" Target="/xl/media/image172.png" Id="rId73"/><Relationship Type="http://schemas.openxmlformats.org/officeDocument/2006/relationships/image" Target="/xl/media/image173.png" Id="rId74"/><Relationship Type="http://schemas.openxmlformats.org/officeDocument/2006/relationships/image" Target="/xl/media/image174.png" Id="rId75"/><Relationship Type="http://schemas.openxmlformats.org/officeDocument/2006/relationships/image" Target="/xl/media/image175.png" Id="rId76"/><Relationship Type="http://schemas.openxmlformats.org/officeDocument/2006/relationships/image" Target="/xl/media/image176.png" Id="rId77"/><Relationship Type="http://schemas.openxmlformats.org/officeDocument/2006/relationships/image" Target="/xl/media/image177.png" Id="rId78"/><Relationship Type="http://schemas.openxmlformats.org/officeDocument/2006/relationships/image" Target="/xl/media/image178.png" Id="rId79"/><Relationship Type="http://schemas.openxmlformats.org/officeDocument/2006/relationships/image" Target="/xl/media/image179.png" Id="rId80"/><Relationship Type="http://schemas.openxmlformats.org/officeDocument/2006/relationships/image" Target="/xl/media/image180.png" Id="rId81"/><Relationship Type="http://schemas.openxmlformats.org/officeDocument/2006/relationships/image" Target="/xl/media/image181.png" Id="rId82"/><Relationship Type="http://schemas.openxmlformats.org/officeDocument/2006/relationships/image" Target="/xl/media/image182.png" Id="rId83"/><Relationship Type="http://schemas.openxmlformats.org/officeDocument/2006/relationships/image" Target="/xl/media/image183.png" Id="rId84"/><Relationship Type="http://schemas.openxmlformats.org/officeDocument/2006/relationships/image" Target="/xl/media/image184.png" Id="rId85"/><Relationship Type="http://schemas.openxmlformats.org/officeDocument/2006/relationships/image" Target="/xl/media/image185.png" Id="rId86"/><Relationship Type="http://schemas.openxmlformats.org/officeDocument/2006/relationships/image" Target="/xl/media/image186.png" Id="rId87"/><Relationship Type="http://schemas.openxmlformats.org/officeDocument/2006/relationships/image" Target="/xl/media/image187.png" Id="rId88"/><Relationship Type="http://schemas.openxmlformats.org/officeDocument/2006/relationships/image" Target="/xl/media/image188.png" Id="rId89"/><Relationship Type="http://schemas.openxmlformats.org/officeDocument/2006/relationships/image" Target="/xl/media/image189.png" Id="rId90"/><Relationship Type="http://schemas.openxmlformats.org/officeDocument/2006/relationships/image" Target="/xl/media/image190.png" Id="rId91"/><Relationship Type="http://schemas.openxmlformats.org/officeDocument/2006/relationships/image" Target="/xl/media/image191.png" Id="rId92"/><Relationship Type="http://schemas.openxmlformats.org/officeDocument/2006/relationships/image" Target="/xl/media/image192.png" Id="rId93"/><Relationship Type="http://schemas.openxmlformats.org/officeDocument/2006/relationships/image" Target="/xl/media/image193.png" Id="rId9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4.png" Id="rId1"/><Relationship Type="http://schemas.openxmlformats.org/officeDocument/2006/relationships/image" Target="/xl/media/image195.png" Id="rId2"/><Relationship Type="http://schemas.openxmlformats.org/officeDocument/2006/relationships/image" Target="/xl/media/image196.png" Id="rId3"/><Relationship Type="http://schemas.openxmlformats.org/officeDocument/2006/relationships/image" Target="/xl/media/image197.png" Id="rId4"/><Relationship Type="http://schemas.openxmlformats.org/officeDocument/2006/relationships/image" Target="/xl/media/image198.png" Id="rId5"/><Relationship Type="http://schemas.openxmlformats.org/officeDocument/2006/relationships/image" Target="/xl/media/image199.png" Id="rId6"/><Relationship Type="http://schemas.openxmlformats.org/officeDocument/2006/relationships/image" Target="/xl/media/image200.png" Id="rId7"/><Relationship Type="http://schemas.openxmlformats.org/officeDocument/2006/relationships/image" Target="/xl/media/image201.png" Id="rId8"/><Relationship Type="http://schemas.openxmlformats.org/officeDocument/2006/relationships/image" Target="/xl/media/image202.png" Id="rId9"/><Relationship Type="http://schemas.openxmlformats.org/officeDocument/2006/relationships/image" Target="/xl/media/image203.png" Id="rId10"/><Relationship Type="http://schemas.openxmlformats.org/officeDocument/2006/relationships/image" Target="/xl/media/image204.png" Id="rId11"/><Relationship Type="http://schemas.openxmlformats.org/officeDocument/2006/relationships/image" Target="/xl/media/image205.png" Id="rId12"/><Relationship Type="http://schemas.openxmlformats.org/officeDocument/2006/relationships/image" Target="/xl/media/image206.png" Id="rId13"/><Relationship Type="http://schemas.openxmlformats.org/officeDocument/2006/relationships/image" Target="/xl/media/image207.png" Id="rId14"/><Relationship Type="http://schemas.openxmlformats.org/officeDocument/2006/relationships/image" Target="/xl/media/image208.png" Id="rId15"/><Relationship Type="http://schemas.openxmlformats.org/officeDocument/2006/relationships/image" Target="/xl/media/image209.png" Id="rId16"/><Relationship Type="http://schemas.openxmlformats.org/officeDocument/2006/relationships/image" Target="/xl/media/image210.png" Id="rId17"/><Relationship Type="http://schemas.openxmlformats.org/officeDocument/2006/relationships/image" Target="/xl/media/image211.png" Id="rId18"/><Relationship Type="http://schemas.openxmlformats.org/officeDocument/2006/relationships/image" Target="/xl/media/image212.png" Id="rId19"/><Relationship Type="http://schemas.openxmlformats.org/officeDocument/2006/relationships/image" Target="/xl/media/image213.png" Id="rId20"/><Relationship Type="http://schemas.openxmlformats.org/officeDocument/2006/relationships/image" Target="/xl/media/image214.png" Id="rId21"/><Relationship Type="http://schemas.openxmlformats.org/officeDocument/2006/relationships/image" Target="/xl/media/image215.png" Id="rId22"/><Relationship Type="http://schemas.openxmlformats.org/officeDocument/2006/relationships/image" Target="/xl/media/image216.png" Id="rId23"/><Relationship Type="http://schemas.openxmlformats.org/officeDocument/2006/relationships/image" Target="/xl/media/image217.png" Id="rId24"/><Relationship Type="http://schemas.openxmlformats.org/officeDocument/2006/relationships/image" Target="/xl/media/image218.png" Id="rId25"/><Relationship Type="http://schemas.openxmlformats.org/officeDocument/2006/relationships/image" Target="/xl/media/image219.png" Id="rId26"/><Relationship Type="http://schemas.openxmlformats.org/officeDocument/2006/relationships/image" Target="/xl/media/image220.png" Id="rId27"/><Relationship Type="http://schemas.openxmlformats.org/officeDocument/2006/relationships/image" Target="/xl/media/image221.png" Id="rId28"/><Relationship Type="http://schemas.openxmlformats.org/officeDocument/2006/relationships/image" Target="/xl/media/image222.png" Id="rId29"/><Relationship Type="http://schemas.openxmlformats.org/officeDocument/2006/relationships/image" Target="/xl/media/image223.png" Id="rId30"/><Relationship Type="http://schemas.openxmlformats.org/officeDocument/2006/relationships/image" Target="/xl/media/image224.png" Id="rId31"/><Relationship Type="http://schemas.openxmlformats.org/officeDocument/2006/relationships/image" Target="/xl/media/image225.png" Id="rId32"/><Relationship Type="http://schemas.openxmlformats.org/officeDocument/2006/relationships/image" Target="/xl/media/image226.png" Id="rId33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7.png" Id="rId1"/><Relationship Type="http://schemas.openxmlformats.org/officeDocument/2006/relationships/image" Target="/xl/media/image228.png" Id="rId2"/><Relationship Type="http://schemas.openxmlformats.org/officeDocument/2006/relationships/image" Target="/xl/media/image229.png" Id="rId3"/><Relationship Type="http://schemas.openxmlformats.org/officeDocument/2006/relationships/image" Target="/xl/media/image230.png" Id="rId4"/><Relationship Type="http://schemas.openxmlformats.org/officeDocument/2006/relationships/image" Target="/xl/media/image231.png" Id="rId5"/><Relationship Type="http://schemas.openxmlformats.org/officeDocument/2006/relationships/image" Target="/xl/media/image232.png" Id="rId6"/><Relationship Type="http://schemas.openxmlformats.org/officeDocument/2006/relationships/image" Target="/xl/media/image233.png" Id="rId7"/></Relationships>
</file>

<file path=xl/drawings/_rels/drawing6.xml.rels><Relationships xmlns="http://schemas.openxmlformats.org/package/2006/relationships"><Relationship Type="http://schemas.openxmlformats.org/officeDocument/2006/relationships/image" Target="/xl/media/image234.png" Id="rId1"/><Relationship Type="http://schemas.openxmlformats.org/officeDocument/2006/relationships/image" Target="/xl/media/image235.png" Id="rId2"/><Relationship Type="http://schemas.openxmlformats.org/officeDocument/2006/relationships/image" Target="/xl/media/image236.png" Id="rId3"/><Relationship Type="http://schemas.openxmlformats.org/officeDocument/2006/relationships/image" Target="/xl/media/image237.png" Id="rId4"/><Relationship Type="http://schemas.openxmlformats.org/officeDocument/2006/relationships/image" Target="/xl/media/image238.png" Id="rId5"/><Relationship Type="http://schemas.openxmlformats.org/officeDocument/2006/relationships/image" Target="/xl/media/image239.png" Id="rId6"/><Relationship Type="http://schemas.openxmlformats.org/officeDocument/2006/relationships/image" Target="/xl/media/image240.png" Id="rId7"/><Relationship Type="http://schemas.openxmlformats.org/officeDocument/2006/relationships/image" Target="/xl/media/image241.png" Id="rId8"/><Relationship Type="http://schemas.openxmlformats.org/officeDocument/2006/relationships/image" Target="/xl/media/image242.png" Id="rId9"/><Relationship Type="http://schemas.openxmlformats.org/officeDocument/2006/relationships/image" Target="/xl/media/image243.png" Id="rId10"/><Relationship Type="http://schemas.openxmlformats.org/officeDocument/2006/relationships/image" Target="/xl/media/image244.png" Id="rId11"/><Relationship Type="http://schemas.openxmlformats.org/officeDocument/2006/relationships/image" Target="/xl/media/image245.png" Id="rId12"/><Relationship Type="http://schemas.openxmlformats.org/officeDocument/2006/relationships/image" Target="/xl/media/image246.png" Id="rId13"/><Relationship Type="http://schemas.openxmlformats.org/officeDocument/2006/relationships/image" Target="/xl/media/image247.png" Id="rId14"/><Relationship Type="http://schemas.openxmlformats.org/officeDocument/2006/relationships/image" Target="/xl/media/image248.png" Id="rId15"/><Relationship Type="http://schemas.openxmlformats.org/officeDocument/2006/relationships/image" Target="/xl/media/image249.png" Id="rId16"/><Relationship Type="http://schemas.openxmlformats.org/officeDocument/2006/relationships/image" Target="/xl/media/image250.png" Id="rId17"/><Relationship Type="http://schemas.openxmlformats.org/officeDocument/2006/relationships/image" Target="/xl/media/image251.png" Id="rId18"/><Relationship Type="http://schemas.openxmlformats.org/officeDocument/2006/relationships/image" Target="/xl/media/image252.png" Id="rId19"/><Relationship Type="http://schemas.openxmlformats.org/officeDocument/2006/relationships/image" Target="/xl/media/image253.png" Id="rId20"/><Relationship Type="http://schemas.openxmlformats.org/officeDocument/2006/relationships/image" Target="/xl/media/image254.png" Id="rId21"/><Relationship Type="http://schemas.openxmlformats.org/officeDocument/2006/relationships/image" Target="/xl/media/image255.png" Id="rId22"/><Relationship Type="http://schemas.openxmlformats.org/officeDocument/2006/relationships/image" Target="/xl/media/image256.png" Id="rId23"/><Relationship Type="http://schemas.openxmlformats.org/officeDocument/2006/relationships/image" Target="/xl/media/image257.png" Id="rId24"/><Relationship Type="http://schemas.openxmlformats.org/officeDocument/2006/relationships/image" Target="/xl/media/image258.png" Id="rId25"/><Relationship Type="http://schemas.openxmlformats.org/officeDocument/2006/relationships/image" Target="/xl/media/image259.png" Id="rId26"/></Relationships>
</file>

<file path=xl/drawings/_rels/drawing7.xml.rels><Relationships xmlns="http://schemas.openxmlformats.org/package/2006/relationships"><Relationship Type="http://schemas.openxmlformats.org/officeDocument/2006/relationships/image" Target="/xl/media/image260.png" Id="rId1"/><Relationship Type="http://schemas.openxmlformats.org/officeDocument/2006/relationships/image" Target="/xl/media/image261.png" Id="rId2"/><Relationship Type="http://schemas.openxmlformats.org/officeDocument/2006/relationships/image" Target="/xl/media/image262.png" Id="rId3"/><Relationship Type="http://schemas.openxmlformats.org/officeDocument/2006/relationships/image" Target="/xl/media/image263.png" Id="rId4"/><Relationship Type="http://schemas.openxmlformats.org/officeDocument/2006/relationships/image" Target="/xl/media/image264.png" Id="rId5"/><Relationship Type="http://schemas.openxmlformats.org/officeDocument/2006/relationships/image" Target="/xl/media/image265.png" Id="rId6"/><Relationship Type="http://schemas.openxmlformats.org/officeDocument/2006/relationships/image" Target="/xl/media/image266.png" Id="rId7"/><Relationship Type="http://schemas.openxmlformats.org/officeDocument/2006/relationships/image" Target="/xl/media/image267.png" Id="rId8"/><Relationship Type="http://schemas.openxmlformats.org/officeDocument/2006/relationships/image" Target="/xl/media/image268.png" Id="rId9"/><Relationship Type="http://schemas.openxmlformats.org/officeDocument/2006/relationships/image" Target="/xl/media/image269.png" Id="rId10"/><Relationship Type="http://schemas.openxmlformats.org/officeDocument/2006/relationships/image" Target="/xl/media/image270.png" Id="rId11"/><Relationship Type="http://schemas.openxmlformats.org/officeDocument/2006/relationships/image" Target="/xl/media/image271.png" Id="rId12"/><Relationship Type="http://schemas.openxmlformats.org/officeDocument/2006/relationships/image" Target="/xl/media/image272.png" Id="rId13"/><Relationship Type="http://schemas.openxmlformats.org/officeDocument/2006/relationships/image" Target="/xl/media/image273.png" Id="rId14"/><Relationship Type="http://schemas.openxmlformats.org/officeDocument/2006/relationships/image" Target="/xl/media/image274.png" Id="rId15"/><Relationship Type="http://schemas.openxmlformats.org/officeDocument/2006/relationships/image" Target="/xl/media/image275.png" Id="rId16"/><Relationship Type="http://schemas.openxmlformats.org/officeDocument/2006/relationships/image" Target="/xl/media/image276.png" Id="rId17"/><Relationship Type="http://schemas.openxmlformats.org/officeDocument/2006/relationships/image" Target="/xl/media/image277.png" Id="rId18"/></Relationships>
</file>

<file path=xl/drawings/_rels/drawing8.xml.rels><Relationships xmlns="http://schemas.openxmlformats.org/package/2006/relationships"><Relationship Type="http://schemas.openxmlformats.org/officeDocument/2006/relationships/image" Target="/xl/media/image278.png" Id="rId1"/><Relationship Type="http://schemas.openxmlformats.org/officeDocument/2006/relationships/image" Target="/xl/media/image279.png" Id="rId2"/><Relationship Type="http://schemas.openxmlformats.org/officeDocument/2006/relationships/image" Target="/xl/media/image280.png" Id="rId3"/><Relationship Type="http://schemas.openxmlformats.org/officeDocument/2006/relationships/image" Target="/xl/media/image281.png" Id="rId4"/><Relationship Type="http://schemas.openxmlformats.org/officeDocument/2006/relationships/image" Target="/xl/media/image282.png" Id="rId5"/><Relationship Type="http://schemas.openxmlformats.org/officeDocument/2006/relationships/image" Target="/xl/media/image283.png" Id="rId6"/><Relationship Type="http://schemas.openxmlformats.org/officeDocument/2006/relationships/image" Target="/xl/media/image284.png" Id="rId7"/><Relationship Type="http://schemas.openxmlformats.org/officeDocument/2006/relationships/image" Target="/xl/media/image285.png" Id="rId8"/><Relationship Type="http://schemas.openxmlformats.org/officeDocument/2006/relationships/image" Target="/xl/media/image286.png" Id="rId9"/><Relationship Type="http://schemas.openxmlformats.org/officeDocument/2006/relationships/image" Target="/xl/media/image287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47650" cy="2476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47650" cy="2476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247650" cy="247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47650" cy="2476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247650" cy="2476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247650" cy="2476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247650" cy="2476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247650" cy="2476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247650" cy="2476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247650" cy="2476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247650" cy="2476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247650" cy="2476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247650" cy="2476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247650" cy="2476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247650" cy="247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247650" cy="2476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247650" cy="2476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247650" cy="2476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247650" cy="2476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247650" cy="2476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247650" cy="2476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247650" cy="2476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247650" cy="2476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247650" cy="2476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247650" cy="2476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247650" cy="2476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247650" cy="2476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247650" cy="2476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247650" cy="2476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247650" cy="2476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247650" cy="2476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247650" cy="2476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247650" cy="2476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247650" cy="2476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247650" cy="2476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247650" cy="2476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247650" cy="2476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247650" cy="2476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247650" cy="2476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247650" cy="2476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247650" cy="2476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247650" cy="2476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247650" cy="2476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247650" cy="2476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247650" cy="2476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247650" cy="2476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247650" cy="2476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247650" cy="2476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247650" cy="2476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247650" cy="2476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247650" cy="2476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247650" cy="2476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247650" cy="2476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247650" cy="2476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247650" cy="2476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247650" cy="2476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247650" cy="2476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247650" cy="2476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247650" cy="2476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247650" cy="2476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247650" cy="2476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247650" cy="2476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247650" cy="2476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247650" cy="2476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247650" cy="2476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247650" cy="2476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247650" cy="2476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247650" cy="2476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247650" cy="2476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247650" cy="2476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247650" cy="2476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247650" cy="2476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247650" cy="2476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247650" cy="2476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247650" cy="2476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247650" cy="2476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247650" cy="2476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191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19100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19100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19100" cy="419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47650" cy="2476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47650" cy="2476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247650" cy="247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47650" cy="2476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247650" cy="2476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247650" cy="2476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247650" cy="2476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247650" cy="2476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247650" cy="2476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247650" cy="2476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247650" cy="2476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247650" cy="2476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247650" cy="2476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247650" cy="2476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247650" cy="247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247650" cy="2476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247650" cy="2476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247650" cy="2476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247650" cy="2476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247650" cy="2476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247650" cy="2476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247650" cy="2476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247650" cy="2476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247650" cy="2476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247650" cy="2476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247650" cy="2476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247650" cy="2476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247650" cy="2476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247650" cy="2476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247650" cy="2476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247650" cy="2476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247650" cy="2476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247650" cy="2476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247650" cy="2476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247650" cy="2476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247650" cy="2476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247650" cy="2476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247650" cy="2476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247650" cy="2476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247650" cy="2476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247650" cy="2476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247650" cy="2476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247650" cy="2476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247650" cy="2476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247650" cy="2476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247650" cy="2476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247650" cy="2476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247650" cy="2476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247650" cy="2476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247650" cy="2476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247650" cy="2476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247650" cy="2476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247650" cy="2476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247650" cy="2476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247650" cy="2476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247650" cy="2476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247650" cy="2476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247650" cy="2476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247650" cy="2476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247650" cy="2476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247650" cy="2476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247650" cy="2476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247650" cy="2476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247650" cy="2476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247650" cy="2476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247650" cy="2476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247650" cy="2476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247650" cy="2476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247650" cy="2476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247650" cy="2476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247650" cy="2476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247650" cy="2476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247650" cy="2476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247650" cy="2476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247650" cy="2476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247650" cy="2476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247650" cy="2476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47650" cy="2476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47650" cy="2476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247650" cy="247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47650" cy="2476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247650" cy="2476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247650" cy="2476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247650" cy="2476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247650" cy="2476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247650" cy="2476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247650" cy="2476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247650" cy="2476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247650" cy="2476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247650" cy="2476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247650" cy="2476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247650" cy="247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247650" cy="2476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4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4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47650" cy="2476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47650" cy="2476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247650" cy="247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47650" cy="2476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247650" cy="2476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247650" cy="2476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247650" cy="2476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247650" cy="2476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247650" cy="2476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4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47650" cy="2476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4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20" customWidth="1" min="5" max="5"/>
    <col width="34" customWidth="1" min="6" max="6"/>
    <col width="13" customWidth="1" min="7" max="7"/>
    <col width="8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4" customWidth="1" min="14" max="14"/>
    <col width="9" customWidth="1" min="15" max="15"/>
    <col width="10" customWidth="1" min="16" max="16"/>
  </cols>
  <sheetData>
    <row r="1">
      <c r="A1" s="1" t="inlineStr">
        <is>
          <t>ANIIMO — Tous les Aniimos (94)</t>
        </is>
      </c>
    </row>
    <row r="2">
      <c r="A2" s="2" t="inlineStr">
        <is>
          <t>Classés du plus fort au moins fort (ATK décroissante). Sources : wiki.aniimo.com (officiel), aniimowiki.com, aniimotools.dev — données du 22/08/2026.</t>
        </is>
      </c>
    </row>
    <row r="4" ht="30" customHeight="1">
      <c r="A4" s="3" t="inlineStr">
        <is>
          <t>N°</t>
        </is>
      </c>
      <c r="B4" s="3" t="inlineStr">
        <is>
          <t>Icône</t>
        </is>
      </c>
      <c r="C4" s="3" t="inlineStr">
        <is>
          <t>Nom</t>
        </is>
      </c>
      <c r="D4" s="3" t="inlineStr">
        <is>
          <t>Élément(s)</t>
        </is>
      </c>
      <c r="E4" s="3" t="inlineStr">
        <is>
          <t>Rôle</t>
        </is>
      </c>
      <c r="F4" s="3" t="inlineStr">
        <is>
          <t>Métier (Homeland)</t>
        </is>
      </c>
      <c r="G4" s="3" t="inlineStr">
        <is>
          <t>Niv. max métier</t>
        </is>
      </c>
      <c r="H4" s="3" t="inlineStr">
        <is>
          <t>ATK</t>
        </is>
      </c>
      <c r="I4" s="3" t="inlineStr">
        <is>
          <t>PV (HP)</t>
        </is>
      </c>
      <c r="J4" s="3" t="inlineStr">
        <is>
          <t>DÉF. Phys.</t>
        </is>
      </c>
      <c r="K4" s="3" t="inlineStr">
        <is>
          <t>DÉF. Mag.</t>
        </is>
      </c>
      <c r="L4" s="3" t="inlineStr">
        <is>
          <t>BREAK</t>
        </is>
      </c>
      <c r="M4" s="3" t="inlineStr">
        <is>
          <t>REGEN</t>
        </is>
      </c>
      <c r="N4" s="3" t="inlineStr">
        <is>
          <t>Total attributs</t>
        </is>
      </c>
      <c r="O4" s="3" t="inlineStr">
        <is>
          <t>Rang ATK</t>
        </is>
      </c>
      <c r="P4" s="3" t="inlineStr">
        <is>
          <t>Rang Total</t>
        </is>
      </c>
    </row>
    <row r="5" ht="26" customHeight="1">
      <c r="A5" s="4" t="inlineStr">
        <is>
          <t>033</t>
        </is>
      </c>
      <c r="B5" s="5" t="n"/>
      <c r="C5" s="6" t="inlineStr">
        <is>
          <t>Eklue</t>
        </is>
      </c>
      <c r="D5" s="7" t="inlineStr">
        <is>
          <t>Vent</t>
        </is>
      </c>
      <c r="E5" s="8" t="inlineStr">
        <is>
          <t>SUPPORT</t>
        </is>
      </c>
      <c r="F5" s="9" t="inlineStr">
        <is>
          <t>📦 Portage (Carry)</t>
        </is>
      </c>
      <c r="G5" s="10" t="inlineStr">
        <is>
          <t>Lv.1</t>
        </is>
      </c>
      <c r="H5" s="5" t="n">
        <v>132</v>
      </c>
      <c r="I5" s="5" t="n">
        <v>82</v>
      </c>
      <c r="J5" s="5" t="n">
        <v>83</v>
      </c>
      <c r="K5" s="5" t="n">
        <v>67</v>
      </c>
      <c r="L5" s="5" t="n">
        <v>49</v>
      </c>
      <c r="M5" s="5" t="n">
        <v>105</v>
      </c>
      <c r="N5" s="5">
        <f>SUM(H5:M5)</f>
        <v/>
      </c>
      <c r="O5" s="11">
        <f>RANK(H5,$H$5:$H$98)</f>
        <v/>
      </c>
      <c r="P5" s="11">
        <f>RANK(N5,$N$5:$N$98)</f>
        <v/>
      </c>
    </row>
    <row r="6" ht="26" customHeight="1">
      <c r="A6" s="12" t="inlineStr">
        <is>
          <t>044</t>
        </is>
      </c>
      <c r="B6" s="5" t="n"/>
      <c r="C6" s="13" t="inlineStr">
        <is>
          <t>Fulmintis</t>
        </is>
      </c>
      <c r="D6" s="14" t="inlineStr">
        <is>
          <t>Foudre</t>
        </is>
      </c>
      <c r="E6" s="15" t="inlineStr">
        <is>
          <t>DPS</t>
        </is>
      </c>
      <c r="F6" s="9" t="inlineStr">
        <is>
          <t>📦 Portage (Carry)</t>
        </is>
      </c>
      <c r="G6" s="10" t="inlineStr">
        <is>
          <t>Lv.1</t>
        </is>
      </c>
      <c r="H6" s="5" t="n">
        <v>130</v>
      </c>
      <c r="I6" s="5" t="n">
        <v>99</v>
      </c>
      <c r="J6" s="5" t="n">
        <v>66</v>
      </c>
      <c r="K6" s="5" t="n">
        <v>70</v>
      </c>
      <c r="L6" s="5" t="n">
        <v>50</v>
      </c>
      <c r="M6" s="5" t="n">
        <v>105</v>
      </c>
      <c r="N6" s="5">
        <f>SUM(H6:M6)</f>
        <v/>
      </c>
      <c r="O6" s="11">
        <f>RANK(H6,$H$5:$H$98)</f>
        <v/>
      </c>
      <c r="P6" s="11">
        <f>RANK(N6,$N$5:$N$98)</f>
        <v/>
      </c>
    </row>
    <row r="7" ht="26" customHeight="1">
      <c r="A7" s="16" t="inlineStr">
        <is>
          <t>063</t>
        </is>
      </c>
      <c r="B7" s="5" t="n"/>
      <c r="C7" s="17" t="inlineStr">
        <is>
          <t>Pawney</t>
        </is>
      </c>
      <c r="D7" s="18" t="inlineStr">
        <is>
          <t>Ténèbres</t>
        </is>
      </c>
      <c r="E7" s="15" t="inlineStr">
        <is>
          <t>DPS</t>
        </is>
      </c>
      <c r="F7" s="19" t="inlineStr">
        <is>
          <t>🔨 Artisanat (Artisanship)</t>
        </is>
      </c>
      <c r="G7" s="20" t="inlineStr">
        <is>
          <t>Lv.3</t>
        </is>
      </c>
      <c r="H7" s="5" t="n">
        <v>128</v>
      </c>
      <c r="I7" s="5" t="n">
        <v>90</v>
      </c>
      <c r="J7" s="5" t="n">
        <v>89</v>
      </c>
      <c r="K7" s="5" t="n">
        <v>70</v>
      </c>
      <c r="L7" s="5" t="n">
        <v>55</v>
      </c>
      <c r="M7" s="5" t="n">
        <v>80</v>
      </c>
      <c r="N7" s="5">
        <f>SUM(H7:M7)</f>
        <v/>
      </c>
      <c r="O7" s="11">
        <f>RANK(H7,$H$5:$H$98)</f>
        <v/>
      </c>
      <c r="P7" s="11">
        <f>RANK(N7,$N$5:$N$98)</f>
        <v/>
      </c>
    </row>
    <row r="8" ht="26" customHeight="1">
      <c r="A8" s="5" t="inlineStr">
        <is>
          <t>043</t>
        </is>
      </c>
      <c r="B8" s="5" t="n"/>
      <c r="C8" s="21" t="inlineStr">
        <is>
          <t>Ignitis</t>
        </is>
      </c>
      <c r="D8" s="18" t="inlineStr">
        <is>
          <t>Ténèbres</t>
        </is>
      </c>
      <c r="E8" s="15" t="inlineStr">
        <is>
          <t>DPS</t>
        </is>
      </c>
      <c r="F8" s="19" t="inlineStr">
        <is>
          <t>🔨 Artisanat (Artisanship)</t>
        </is>
      </c>
      <c r="G8" s="20" t="inlineStr">
        <is>
          <t>Lv.3</t>
        </is>
      </c>
      <c r="H8" s="5" t="n">
        <v>128</v>
      </c>
      <c r="I8" s="5" t="n">
        <v>90</v>
      </c>
      <c r="J8" s="5" t="n">
        <v>70</v>
      </c>
      <c r="K8" s="5" t="n">
        <v>63</v>
      </c>
      <c r="L8" s="5" t="n">
        <v>50</v>
      </c>
      <c r="M8" s="5" t="n">
        <v>91</v>
      </c>
      <c r="N8" s="5">
        <f>SUM(H8:M8)</f>
        <v/>
      </c>
      <c r="O8" s="11">
        <f>RANK(H8,$H$5:$H$98)</f>
        <v/>
      </c>
      <c r="P8" s="11">
        <f>RANK(N8,$N$5:$N$98)</f>
        <v/>
      </c>
    </row>
    <row r="9" ht="26" customHeight="1">
      <c r="A9" s="5" t="inlineStr">
        <is>
          <t>070</t>
        </is>
      </c>
      <c r="B9" s="5" t="n"/>
      <c r="C9" s="21" t="inlineStr">
        <is>
          <t>Grizbo</t>
        </is>
      </c>
      <c r="D9" s="22" t="inlineStr">
        <is>
          <t>Roche</t>
        </is>
      </c>
      <c r="E9" s="15" t="inlineStr">
        <is>
          <t>DPS</t>
        </is>
      </c>
      <c r="F9" s="9" t="inlineStr">
        <is>
          <t>📦 Portage (Carry)</t>
        </is>
      </c>
      <c r="G9" s="10" t="inlineStr">
        <is>
          <t>Lv.1</t>
        </is>
      </c>
      <c r="H9" s="5" t="n">
        <v>126</v>
      </c>
      <c r="I9" s="5" t="n">
        <v>108</v>
      </c>
      <c r="J9" s="5" t="n">
        <v>83</v>
      </c>
      <c r="K9" s="5" t="n">
        <v>73</v>
      </c>
      <c r="L9" s="5" t="n">
        <v>50</v>
      </c>
      <c r="M9" s="5" t="n">
        <v>84</v>
      </c>
      <c r="N9" s="5">
        <f>SUM(H9:M9)</f>
        <v/>
      </c>
      <c r="O9" s="11">
        <f>RANK(H9,$H$5:$H$98)</f>
        <v/>
      </c>
      <c r="P9" s="11">
        <f>RANK(N9,$N$5:$N$98)</f>
        <v/>
      </c>
    </row>
    <row r="10" ht="26" customHeight="1">
      <c r="A10" s="5" t="inlineStr">
        <is>
          <t>093</t>
        </is>
      </c>
      <c r="B10" s="5" t="n"/>
      <c r="C10" s="21" t="inlineStr">
        <is>
          <t>Malevsera</t>
        </is>
      </c>
      <c r="D10" s="23" t="inlineStr">
        <is>
          <t>Glace</t>
        </is>
      </c>
      <c r="E10" s="15" t="inlineStr">
        <is>
          <t>DPS</t>
        </is>
      </c>
      <c r="F10" s="19" t="inlineStr">
        <is>
          <t>🔨 Artisanat (Artisanship)</t>
        </is>
      </c>
      <c r="G10" s="20" t="inlineStr">
        <is>
          <t>Lv.3</t>
        </is>
      </c>
      <c r="H10" s="5" t="n">
        <v>125</v>
      </c>
      <c r="I10" s="5" t="n">
        <v>88</v>
      </c>
      <c r="J10" s="5" t="n">
        <v>70</v>
      </c>
      <c r="K10" s="5" t="n">
        <v>80</v>
      </c>
      <c r="L10" s="5" t="n">
        <v>52</v>
      </c>
      <c r="M10" s="5" t="n">
        <v>110</v>
      </c>
      <c r="N10" s="5">
        <f>SUM(H10:M10)</f>
        <v/>
      </c>
      <c r="O10" s="11">
        <f>RANK(H10,$H$5:$H$98)</f>
        <v/>
      </c>
      <c r="P10" s="11">
        <f>RANK(N10,$N$5:$N$98)</f>
        <v/>
      </c>
    </row>
    <row r="11" ht="26" customHeight="1">
      <c r="A11" s="5" t="inlineStr">
        <is>
          <t>061</t>
        </is>
      </c>
      <c r="B11" s="5" t="n"/>
      <c r="C11" s="21" t="inlineStr">
        <is>
          <t>Fenmane</t>
        </is>
      </c>
      <c r="D11" s="14" t="inlineStr">
        <is>
          <t>Foudre</t>
        </is>
      </c>
      <c r="E11" s="15" t="inlineStr">
        <is>
          <t>DPS</t>
        </is>
      </c>
      <c r="F11" s="9" t="inlineStr">
        <is>
          <t>📦 Portage (Carry)</t>
        </is>
      </c>
      <c r="G11" s="10" t="inlineStr">
        <is>
          <t>Lv.1</t>
        </is>
      </c>
      <c r="H11" s="5" t="n">
        <v>125</v>
      </c>
      <c r="I11" s="5" t="n">
        <v>100</v>
      </c>
      <c r="J11" s="5" t="n">
        <v>70</v>
      </c>
      <c r="K11" s="5" t="n">
        <v>70</v>
      </c>
      <c r="L11" s="5" t="n">
        <v>50</v>
      </c>
      <c r="M11" s="5" t="n">
        <v>90</v>
      </c>
      <c r="N11" s="5">
        <f>SUM(H11:M11)</f>
        <v/>
      </c>
      <c r="O11" s="11">
        <f>RANK(H11,$H$5:$H$98)</f>
        <v/>
      </c>
      <c r="P11" s="11">
        <f>RANK(N11,$N$5:$N$98)</f>
        <v/>
      </c>
    </row>
    <row r="12" ht="26" customHeight="1">
      <c r="A12" s="5" t="inlineStr">
        <is>
          <t>006</t>
        </is>
      </c>
      <c r="B12" s="5" t="n"/>
      <c r="C12" s="21" t="inlineStr">
        <is>
          <t>Stellarys</t>
        </is>
      </c>
      <c r="D12" s="18" t="inlineStr">
        <is>
          <t>Ténèbres</t>
        </is>
      </c>
      <c r="E12" s="15" t="inlineStr">
        <is>
          <t>DPS</t>
        </is>
      </c>
      <c r="F12" s="24" t="inlineStr">
        <is>
          <t>🪁 Loisir (Leisure)</t>
        </is>
      </c>
      <c r="G12" s="25" t="inlineStr">
        <is>
          <t>Lv.4</t>
        </is>
      </c>
      <c r="H12" s="5" t="n">
        <v>125</v>
      </c>
      <c r="I12" s="5" t="n">
        <v>90</v>
      </c>
      <c r="J12" s="5" t="n">
        <v>63</v>
      </c>
      <c r="K12" s="5" t="n">
        <v>67</v>
      </c>
      <c r="L12" s="5" t="n">
        <v>50</v>
      </c>
      <c r="M12" s="5" t="n">
        <v>90</v>
      </c>
      <c r="N12" s="5">
        <f>SUM(H12:M12)</f>
        <v/>
      </c>
      <c r="O12" s="11">
        <f>RANK(H12,$H$5:$H$98)</f>
        <v/>
      </c>
      <c r="P12" s="11">
        <f>RANK(N12,$N$5:$N$98)</f>
        <v/>
      </c>
    </row>
    <row r="13" ht="26" customHeight="1">
      <c r="A13" s="5" t="inlineStr">
        <is>
          <t>091</t>
        </is>
      </c>
      <c r="B13" s="5" t="n"/>
      <c r="C13" s="21" t="inlineStr">
        <is>
          <t>Gachapus</t>
        </is>
      </c>
      <c r="D13" s="26" t="inlineStr">
        <is>
          <t>Eau</t>
        </is>
      </c>
      <c r="E13" s="15" t="inlineStr">
        <is>
          <t>DPS</t>
        </is>
      </c>
      <c r="F13" s="19" t="inlineStr">
        <is>
          <t>🔨 Artisanat (Artisanship)</t>
        </is>
      </c>
      <c r="G13" s="20" t="inlineStr">
        <is>
          <t>Lv.3</t>
        </is>
      </c>
      <c r="H13" s="5" t="n">
        <v>121</v>
      </c>
      <c r="I13" s="5" t="n">
        <v>106</v>
      </c>
      <c r="J13" s="5" t="n">
        <v>68</v>
      </c>
      <c r="K13" s="5" t="n">
        <v>77</v>
      </c>
      <c r="L13" s="5" t="n">
        <v>51</v>
      </c>
      <c r="M13" s="5" t="n">
        <v>106</v>
      </c>
      <c r="N13" s="5">
        <f>SUM(H13:M13)</f>
        <v/>
      </c>
      <c r="O13" s="11">
        <f>RANK(H13,$H$5:$H$98)</f>
        <v/>
      </c>
      <c r="P13" s="11">
        <f>RANK(N13,$N$5:$N$98)</f>
        <v/>
      </c>
    </row>
    <row r="14" ht="26" customHeight="1">
      <c r="A14" s="5" t="inlineStr">
        <is>
          <t>056</t>
        </is>
      </c>
      <c r="B14" s="5" t="n"/>
      <c r="C14" s="21" t="inlineStr">
        <is>
          <t>Sherro</t>
        </is>
      </c>
      <c r="D14" s="26" t="inlineStr">
        <is>
          <t>Eau</t>
        </is>
      </c>
      <c r="E14" s="15" t="inlineStr">
        <is>
          <t>DPS</t>
        </is>
      </c>
      <c r="F14" s="24" t="inlineStr">
        <is>
          <t>🪁 Loisir (Leisure)</t>
        </is>
      </c>
      <c r="G14" s="25" t="inlineStr">
        <is>
          <t>Lv.4</t>
        </is>
      </c>
      <c r="H14" s="5" t="n">
        <v>121</v>
      </c>
      <c r="I14" s="5" t="n">
        <v>100</v>
      </c>
      <c r="J14" s="5" t="n">
        <v>75</v>
      </c>
      <c r="K14" s="5" t="n">
        <v>75</v>
      </c>
      <c r="L14" s="5" t="n">
        <v>50</v>
      </c>
      <c r="M14" s="5" t="n">
        <v>88</v>
      </c>
      <c r="N14" s="5">
        <f>SUM(H14:M14)</f>
        <v/>
      </c>
      <c r="O14" s="11">
        <f>RANK(H14,$H$5:$H$98)</f>
        <v/>
      </c>
      <c r="P14" s="11">
        <f>RANK(N14,$N$5:$N$98)</f>
        <v/>
      </c>
    </row>
    <row r="15" ht="26" customHeight="1">
      <c r="A15" s="5" t="inlineStr">
        <is>
          <t>035</t>
        </is>
      </c>
      <c r="B15" s="5" t="n"/>
      <c r="C15" s="21" t="inlineStr">
        <is>
          <t>Thornblade</t>
        </is>
      </c>
      <c r="D15" s="27" t="inlineStr">
        <is>
          <t>Plante</t>
        </is>
      </c>
      <c r="E15" s="15" t="inlineStr">
        <is>
          <t>DPS</t>
        </is>
      </c>
      <c r="F15" s="19" t="inlineStr">
        <is>
          <t>🔨 Artisanat (Artisanship)</t>
        </is>
      </c>
      <c r="G15" s="20" t="inlineStr">
        <is>
          <t>Lv.3</t>
        </is>
      </c>
      <c r="H15" s="5" t="n">
        <v>121</v>
      </c>
      <c r="I15" s="5" t="n">
        <v>96</v>
      </c>
      <c r="J15" s="5" t="n">
        <v>70</v>
      </c>
      <c r="K15" s="5" t="n">
        <v>70</v>
      </c>
      <c r="L15" s="5" t="n">
        <v>50</v>
      </c>
      <c r="M15" s="5" t="n">
        <v>92</v>
      </c>
      <c r="N15" s="5">
        <f>SUM(H15:M15)</f>
        <v/>
      </c>
      <c r="O15" s="11">
        <f>RANK(H15,$H$5:$H$98)</f>
        <v/>
      </c>
      <c r="P15" s="11">
        <f>RANK(N15,$N$5:$N$98)</f>
        <v/>
      </c>
    </row>
    <row r="16" ht="26" customHeight="1">
      <c r="A16" s="5" t="inlineStr">
        <is>
          <t>009</t>
        </is>
      </c>
      <c r="B16" s="5" t="n"/>
      <c r="C16" s="21" t="inlineStr">
        <is>
          <t>Cornet</t>
        </is>
      </c>
      <c r="D16" s="7" t="inlineStr">
        <is>
          <t>Vent</t>
        </is>
      </c>
      <c r="E16" s="15" t="inlineStr">
        <is>
          <t>DPS</t>
        </is>
      </c>
      <c r="F16" s="28" t="inlineStr">
        <is>
          <t>—  n.c.</t>
        </is>
      </c>
      <c r="G16" s="29" t="inlineStr">
        <is>
          <t>—</t>
        </is>
      </c>
      <c r="H16" s="5" t="n">
        <v>121</v>
      </c>
      <c r="I16" s="5" t="n">
        <v>93</v>
      </c>
      <c r="J16" s="5" t="n">
        <v>66</v>
      </c>
      <c r="K16" s="5" t="n">
        <v>65</v>
      </c>
      <c r="L16" s="5" t="n">
        <v>50</v>
      </c>
      <c r="M16" s="5" t="n">
        <v>94</v>
      </c>
      <c r="N16" s="5">
        <f>SUM(H16:M16)</f>
        <v/>
      </c>
      <c r="O16" s="11">
        <f>RANK(H16,$H$5:$H$98)</f>
        <v/>
      </c>
      <c r="P16" s="11">
        <f>RANK(N16,$N$5:$N$98)</f>
        <v/>
      </c>
    </row>
    <row r="17" ht="26" customHeight="1">
      <c r="A17" s="5" t="inlineStr">
        <is>
          <t>058</t>
        </is>
      </c>
      <c r="B17" s="5" t="n"/>
      <c r="C17" s="21" t="inlineStr">
        <is>
          <t>Waleetle</t>
        </is>
      </c>
      <c r="D17" s="22" t="inlineStr">
        <is>
          <t>Roche</t>
        </is>
      </c>
      <c r="E17" s="15" t="inlineStr">
        <is>
          <t>DPS</t>
        </is>
      </c>
      <c r="F17" s="24" t="inlineStr">
        <is>
          <t>🪁 Loisir (Leisure)</t>
        </is>
      </c>
      <c r="G17" s="25" t="inlineStr">
        <is>
          <t>Lv.4</t>
        </is>
      </c>
      <c r="H17" s="5" t="n">
        <v>120</v>
      </c>
      <c r="I17" s="5" t="n">
        <v>90</v>
      </c>
      <c r="J17" s="5" t="n">
        <v>80</v>
      </c>
      <c r="K17" s="5" t="n">
        <v>80</v>
      </c>
      <c r="L17" s="5" t="n">
        <v>50</v>
      </c>
      <c r="M17" s="5" t="n">
        <v>100</v>
      </c>
      <c r="N17" s="5">
        <f>SUM(H17:M17)</f>
        <v/>
      </c>
      <c r="O17" s="11">
        <f>RANK(H17,$H$5:$H$98)</f>
        <v/>
      </c>
      <c r="P17" s="11">
        <f>RANK(N17,$N$5:$N$98)</f>
        <v/>
      </c>
    </row>
    <row r="18" ht="26" customHeight="1">
      <c r="A18" s="5" t="inlineStr">
        <is>
          <t>059</t>
        </is>
      </c>
      <c r="B18" s="5" t="n"/>
      <c r="C18" s="21" t="inlineStr">
        <is>
          <t>Bouldus</t>
        </is>
      </c>
      <c r="D18" s="22" t="inlineStr">
        <is>
          <t>Roche</t>
        </is>
      </c>
      <c r="E18" s="8" t="inlineStr">
        <is>
          <t>SUPPORT</t>
        </is>
      </c>
      <c r="F18" s="24" t="inlineStr">
        <is>
          <t>🪁 Loisir (Leisure)</t>
        </is>
      </c>
      <c r="G18" s="25" t="inlineStr">
        <is>
          <t>Lv.4</t>
        </is>
      </c>
      <c r="H18" s="5" t="n">
        <v>119</v>
      </c>
      <c r="I18" s="5" t="n">
        <v>91</v>
      </c>
      <c r="J18" s="5" t="n">
        <v>101</v>
      </c>
      <c r="K18" s="5" t="n">
        <v>54</v>
      </c>
      <c r="L18" s="5" t="n">
        <v>52</v>
      </c>
      <c r="M18" s="5" t="n">
        <v>104</v>
      </c>
      <c r="N18" s="5">
        <f>SUM(H18:M18)</f>
        <v/>
      </c>
      <c r="O18" s="11">
        <f>RANK(H18,$H$5:$H$98)</f>
        <v/>
      </c>
      <c r="P18" s="11">
        <f>RANK(N18,$N$5:$N$98)</f>
        <v/>
      </c>
    </row>
    <row r="19" ht="26" customHeight="1">
      <c r="A19" s="5" t="inlineStr">
        <is>
          <t>047</t>
        </is>
      </c>
      <c r="B19" s="5" t="n"/>
      <c r="C19" s="21" t="inlineStr">
        <is>
          <t>Glynsera</t>
        </is>
      </c>
      <c r="D19" s="23" t="inlineStr">
        <is>
          <t>Glace</t>
        </is>
      </c>
      <c r="E19" s="15" t="inlineStr">
        <is>
          <t>DPS</t>
        </is>
      </c>
      <c r="F19" s="19" t="inlineStr">
        <is>
          <t>🔨 Artisanat (Artisanship)</t>
        </is>
      </c>
      <c r="G19" s="20" t="inlineStr">
        <is>
          <t>Lv.3</t>
        </is>
      </c>
      <c r="H19" s="5" t="n">
        <v>117</v>
      </c>
      <c r="I19" s="5" t="n">
        <v>95</v>
      </c>
      <c r="J19" s="5" t="n">
        <v>75</v>
      </c>
      <c r="K19" s="5" t="n">
        <v>76</v>
      </c>
      <c r="L19" s="5" t="n">
        <v>50</v>
      </c>
      <c r="M19" s="5" t="n">
        <v>90</v>
      </c>
      <c r="N19" s="5">
        <f>SUM(H19:M19)</f>
        <v/>
      </c>
      <c r="O19" s="11">
        <f>RANK(H19,$H$5:$H$98)</f>
        <v/>
      </c>
      <c r="P19" s="11">
        <f>RANK(N19,$N$5:$N$98)</f>
        <v/>
      </c>
    </row>
    <row r="20" ht="26" customHeight="1">
      <c r="A20" s="5" t="inlineStr">
        <is>
          <t>012</t>
        </is>
      </c>
      <c r="B20" s="5" t="n"/>
      <c r="C20" s="21" t="inlineStr">
        <is>
          <t>Irisal</t>
        </is>
      </c>
      <c r="D20" s="27" t="inlineStr">
        <is>
          <t>Plante</t>
        </is>
      </c>
      <c r="E20" s="15" t="inlineStr">
        <is>
          <t>DPS</t>
        </is>
      </c>
      <c r="F20" s="24" t="inlineStr">
        <is>
          <t>🪁 Loisir (Leisure)</t>
        </is>
      </c>
      <c r="G20" s="25" t="inlineStr">
        <is>
          <t>Lv.4</t>
        </is>
      </c>
      <c r="H20" s="5" t="n">
        <v>116</v>
      </c>
      <c r="I20" s="5" t="n">
        <v>100</v>
      </c>
      <c r="J20" s="5" t="n">
        <v>70</v>
      </c>
      <c r="K20" s="5" t="n">
        <v>70</v>
      </c>
      <c r="L20" s="5" t="n">
        <v>50</v>
      </c>
      <c r="M20" s="5" t="n">
        <v>98</v>
      </c>
      <c r="N20" s="5">
        <f>SUM(H20:M20)</f>
        <v/>
      </c>
      <c r="O20" s="11">
        <f>RANK(H20,$H$5:$H$98)</f>
        <v/>
      </c>
      <c r="P20" s="11">
        <f>RANK(N20,$N$5:$N$98)</f>
        <v/>
      </c>
    </row>
    <row r="21" ht="26" customHeight="1">
      <c r="A21" s="5" t="inlineStr">
        <is>
          <t>9997</t>
        </is>
      </c>
      <c r="B21" s="5" t="n"/>
      <c r="C21" s="21" t="inlineStr">
        <is>
          <t>Fennelun</t>
        </is>
      </c>
      <c r="D21" s="30" t="inlineStr">
        <is>
          <t>Lumière</t>
        </is>
      </c>
      <c r="E21" s="15" t="inlineStr">
        <is>
          <t>DPS</t>
        </is>
      </c>
      <c r="F21" s="28" t="inlineStr">
        <is>
          <t>—  n.c.</t>
        </is>
      </c>
      <c r="G21" s="29" t="inlineStr">
        <is>
          <t>—</t>
        </is>
      </c>
      <c r="H21" s="5" t="n">
        <v>116</v>
      </c>
      <c r="I21" s="5" t="n">
        <v>90</v>
      </c>
      <c r="J21" s="5" t="n">
        <v>65</v>
      </c>
      <c r="K21" s="5" t="n">
        <v>65</v>
      </c>
      <c r="L21" s="5" t="n">
        <v>85</v>
      </c>
      <c r="M21" s="5" t="n">
        <v>83</v>
      </c>
      <c r="N21" s="5">
        <f>SUM(H21:M21)</f>
        <v/>
      </c>
      <c r="O21" s="11">
        <f>RANK(H21,$H$5:$H$98)</f>
        <v/>
      </c>
      <c r="P21" s="11">
        <f>RANK(N21,$N$5:$N$98)</f>
        <v/>
      </c>
    </row>
    <row r="22" ht="26" customHeight="1">
      <c r="A22" s="5" t="inlineStr">
        <is>
          <t>9998</t>
        </is>
      </c>
      <c r="B22" s="5" t="n"/>
      <c r="C22" s="21" t="inlineStr">
        <is>
          <t>Helion</t>
        </is>
      </c>
      <c r="D22" s="30" t="inlineStr">
        <is>
          <t>Lumière</t>
        </is>
      </c>
      <c r="E22" s="15" t="inlineStr">
        <is>
          <t>DPS</t>
        </is>
      </c>
      <c r="F22" s="19" t="inlineStr">
        <is>
          <t>🔨 Artisanat (Artisanship)</t>
        </is>
      </c>
      <c r="G22" s="20" t="inlineStr">
        <is>
          <t>Lv.3</t>
        </is>
      </c>
      <c r="H22" s="5" t="n">
        <v>116</v>
      </c>
      <c r="I22" s="5" t="n">
        <v>90</v>
      </c>
      <c r="J22" s="5" t="n">
        <v>65</v>
      </c>
      <c r="K22" s="5" t="n">
        <v>65</v>
      </c>
      <c r="L22" s="5" t="n">
        <v>85</v>
      </c>
      <c r="M22" s="5" t="n">
        <v>83</v>
      </c>
      <c r="N22" s="5">
        <f>SUM(H22:M22)</f>
        <v/>
      </c>
      <c r="O22" s="11">
        <f>RANK(H22,$H$5:$H$98)</f>
        <v/>
      </c>
      <c r="P22" s="11">
        <f>RANK(N22,$N$5:$N$98)</f>
        <v/>
      </c>
    </row>
    <row r="23" ht="26" customHeight="1">
      <c r="A23" s="5" t="inlineStr">
        <is>
          <t>003</t>
        </is>
      </c>
      <c r="B23" s="5" t="n"/>
      <c r="C23" s="21" t="inlineStr">
        <is>
          <t>Scorchhowl</t>
        </is>
      </c>
      <c r="D23" s="31" t="inlineStr">
        <is>
          <t>Feu</t>
        </is>
      </c>
      <c r="E23" s="15" t="inlineStr">
        <is>
          <t>DPS</t>
        </is>
      </c>
      <c r="F23" s="9" t="inlineStr">
        <is>
          <t>📦 Portage (Carry)</t>
        </is>
      </c>
      <c r="G23" s="10" t="inlineStr">
        <is>
          <t>Lv.1</t>
        </is>
      </c>
      <c r="H23" s="5" t="n">
        <v>115</v>
      </c>
      <c r="I23" s="5" t="n">
        <v>90</v>
      </c>
      <c r="J23" s="5" t="n">
        <v>80</v>
      </c>
      <c r="K23" s="5" t="n">
        <v>70</v>
      </c>
      <c r="L23" s="5" t="n">
        <v>50</v>
      </c>
      <c r="M23" s="5" t="n">
        <v>90</v>
      </c>
      <c r="N23" s="5">
        <f>SUM(H23:M23)</f>
        <v/>
      </c>
      <c r="O23" s="11">
        <f>RANK(H23,$H$5:$H$98)</f>
        <v/>
      </c>
      <c r="P23" s="11">
        <f>RANK(N23,$N$5:$N$98)</f>
        <v/>
      </c>
    </row>
    <row r="24" ht="26" customHeight="1">
      <c r="A24" s="5" t="inlineStr">
        <is>
          <t>068</t>
        </is>
      </c>
      <c r="B24" s="5" t="n"/>
      <c r="C24" s="21" t="inlineStr">
        <is>
          <t>Infergon</t>
        </is>
      </c>
      <c r="D24" s="31" t="inlineStr">
        <is>
          <t>Feu</t>
        </is>
      </c>
      <c r="E24" s="15" t="inlineStr">
        <is>
          <t>DPS</t>
        </is>
      </c>
      <c r="F24" s="28" t="inlineStr">
        <is>
          <t>—  n.c.</t>
        </is>
      </c>
      <c r="G24" s="29" t="inlineStr">
        <is>
          <t>—</t>
        </is>
      </c>
      <c r="H24" s="5" t="n">
        <v>114</v>
      </c>
      <c r="I24" s="5" t="n">
        <v>100</v>
      </c>
      <c r="J24" s="5" t="n">
        <v>81</v>
      </c>
      <c r="K24" s="5" t="n">
        <v>98</v>
      </c>
      <c r="L24" s="5" t="n">
        <v>53</v>
      </c>
      <c r="M24" s="5" t="n">
        <v>90</v>
      </c>
      <c r="N24" s="5">
        <f>SUM(H24:M24)</f>
        <v/>
      </c>
      <c r="O24" s="11">
        <f>RANK(H24,$H$5:$H$98)</f>
        <v/>
      </c>
      <c r="P24" s="11">
        <f>RANK(N24,$N$5:$N$98)</f>
        <v/>
      </c>
    </row>
    <row r="25" ht="26" customHeight="1">
      <c r="A25" s="5" t="inlineStr">
        <is>
          <t>077</t>
        </is>
      </c>
      <c r="B25" s="5" t="n"/>
      <c r="C25" s="21" t="inlineStr">
        <is>
          <t>Bailite</t>
        </is>
      </c>
      <c r="D25" s="22" t="inlineStr">
        <is>
          <t>Roche</t>
        </is>
      </c>
      <c r="E25" s="8" t="inlineStr">
        <is>
          <t>SUPPORT</t>
        </is>
      </c>
      <c r="F25" s="9" t="inlineStr">
        <is>
          <t>📦 Portage (Carry)</t>
        </is>
      </c>
      <c r="G25" s="10" t="inlineStr">
        <is>
          <t>Lv.1</t>
        </is>
      </c>
      <c r="H25" s="5" t="n">
        <v>114</v>
      </c>
      <c r="I25" s="5" t="n">
        <v>75</v>
      </c>
      <c r="J25" s="5" t="n">
        <v>85</v>
      </c>
      <c r="K25" s="5" t="n">
        <v>84</v>
      </c>
      <c r="L25" s="5" t="n">
        <v>103</v>
      </c>
      <c r="M25" s="5" t="n">
        <v>75</v>
      </c>
      <c r="N25" s="5">
        <f>SUM(H25:M25)</f>
        <v/>
      </c>
      <c r="O25" s="11">
        <f>RANK(H25,$H$5:$H$98)</f>
        <v/>
      </c>
      <c r="P25" s="11">
        <f>RANK(N25,$N$5:$N$98)</f>
        <v/>
      </c>
    </row>
    <row r="26" ht="26" customHeight="1">
      <c r="A26" s="5" t="inlineStr">
        <is>
          <t>032</t>
        </is>
      </c>
      <c r="B26" s="5" t="n"/>
      <c r="C26" s="21" t="inlineStr">
        <is>
          <t>Eko</t>
        </is>
      </c>
      <c r="D26" s="7" t="inlineStr">
        <is>
          <t>Vent</t>
        </is>
      </c>
      <c r="E26" s="8" t="inlineStr">
        <is>
          <t>SUPPORT</t>
        </is>
      </c>
      <c r="F26" s="9" t="inlineStr">
        <is>
          <t>📦 Portage (Carry)</t>
        </is>
      </c>
      <c r="G26" s="10" t="inlineStr">
        <is>
          <t>Lv.1</t>
        </is>
      </c>
      <c r="H26" s="5" t="n">
        <v>112</v>
      </c>
      <c r="I26" s="5" t="n">
        <v>70</v>
      </c>
      <c r="J26" s="5" t="n">
        <v>70</v>
      </c>
      <c r="K26" s="5" t="n">
        <v>57</v>
      </c>
      <c r="L26" s="5" t="n">
        <v>42</v>
      </c>
      <c r="M26" s="5" t="n">
        <v>89</v>
      </c>
      <c r="N26" s="5">
        <f>SUM(H26:M26)</f>
        <v/>
      </c>
      <c r="O26" s="11">
        <f>RANK(H26,$H$5:$H$98)</f>
        <v/>
      </c>
      <c r="P26" s="11">
        <f>RANK(N26,$N$5:$N$98)</f>
        <v/>
      </c>
    </row>
    <row r="27" ht="26" customHeight="1">
      <c r="A27" s="5" t="inlineStr">
        <is>
          <t>055</t>
        </is>
      </c>
      <c r="B27" s="5" t="n"/>
      <c r="C27" s="21" t="inlineStr">
        <is>
          <t>Sheldon</t>
        </is>
      </c>
      <c r="D27" s="26" t="inlineStr">
        <is>
          <t>Eau</t>
        </is>
      </c>
      <c r="E27" s="15" t="inlineStr">
        <is>
          <t>DPS</t>
        </is>
      </c>
      <c r="F27" s="24" t="inlineStr">
        <is>
          <t>🪁 Loisir (Leisure)</t>
        </is>
      </c>
      <c r="G27" s="25" t="inlineStr">
        <is>
          <t>Lv.4</t>
        </is>
      </c>
      <c r="H27" s="5" t="n">
        <v>109</v>
      </c>
      <c r="I27" s="5" t="n">
        <v>90</v>
      </c>
      <c r="J27" s="5" t="n">
        <v>68</v>
      </c>
      <c r="K27" s="5" t="n">
        <v>68</v>
      </c>
      <c r="L27" s="5" t="n">
        <v>44</v>
      </c>
      <c r="M27" s="5" t="n">
        <v>79</v>
      </c>
      <c r="N27" s="5">
        <f>SUM(H27:M27)</f>
        <v/>
      </c>
      <c r="O27" s="11">
        <f>RANK(H27,$H$5:$H$98)</f>
        <v/>
      </c>
      <c r="P27" s="11">
        <f>RANK(N27,$N$5:$N$98)</f>
        <v/>
      </c>
    </row>
    <row r="28" ht="26" customHeight="1">
      <c r="A28" s="5" t="inlineStr">
        <is>
          <t>038</t>
        </is>
      </c>
      <c r="B28" s="5" t="n"/>
      <c r="C28" s="21" t="inlineStr">
        <is>
          <t>Dazmand</t>
        </is>
      </c>
      <c r="D28" s="14" t="inlineStr">
        <is>
          <t>Foudre</t>
        </is>
      </c>
      <c r="E28" s="8" t="inlineStr">
        <is>
          <t>SUPPORT</t>
        </is>
      </c>
      <c r="F28" s="9" t="inlineStr">
        <is>
          <t>📦 Portage (Carry)</t>
        </is>
      </c>
      <c r="G28" s="10" t="inlineStr">
        <is>
          <t>Lv.1</t>
        </is>
      </c>
      <c r="H28" s="5" t="n">
        <v>108</v>
      </c>
      <c r="I28" s="5" t="n">
        <v>100</v>
      </c>
      <c r="J28" s="5" t="n">
        <v>81</v>
      </c>
      <c r="K28" s="5" t="n">
        <v>81</v>
      </c>
      <c r="L28" s="5" t="n">
        <v>91</v>
      </c>
      <c r="M28" s="5" t="n">
        <v>71</v>
      </c>
      <c r="N28" s="5">
        <f>SUM(H28:M28)</f>
        <v/>
      </c>
      <c r="O28" s="11">
        <f>RANK(H28,$H$5:$H$98)</f>
        <v/>
      </c>
      <c r="P28" s="11">
        <f>RANK(N28,$N$5:$N$98)</f>
        <v/>
      </c>
    </row>
    <row r="29" ht="26" customHeight="1">
      <c r="A29" s="5" t="inlineStr">
        <is>
          <t>052</t>
        </is>
      </c>
      <c r="B29" s="5" t="n"/>
      <c r="C29" s="21" t="inlineStr">
        <is>
          <t>Piopiota</t>
        </is>
      </c>
      <c r="D29" s="26" t="inlineStr">
        <is>
          <t>Eau</t>
        </is>
      </c>
      <c r="E29" s="8" t="inlineStr">
        <is>
          <t>SUPPORT</t>
        </is>
      </c>
      <c r="F29" s="24" t="inlineStr">
        <is>
          <t>🪁 Loisir (Leisure)</t>
        </is>
      </c>
      <c r="G29" s="25" t="inlineStr">
        <is>
          <t>Lv.4</t>
        </is>
      </c>
      <c r="H29" s="5" t="n">
        <v>108</v>
      </c>
      <c r="I29" s="5" t="n">
        <v>102</v>
      </c>
      <c r="J29" s="5" t="n">
        <v>75</v>
      </c>
      <c r="K29" s="5" t="n">
        <v>75</v>
      </c>
      <c r="L29" s="5" t="n">
        <v>98</v>
      </c>
      <c r="M29" s="5" t="n">
        <v>74</v>
      </c>
      <c r="N29" s="5">
        <f>SUM(H29:M29)</f>
        <v/>
      </c>
      <c r="O29" s="11">
        <f>RANK(H29,$H$5:$H$98)</f>
        <v/>
      </c>
      <c r="P29" s="11">
        <f>RANK(N29,$N$5:$N$98)</f>
        <v/>
      </c>
    </row>
    <row r="30" ht="26" customHeight="1">
      <c r="A30" s="5" t="inlineStr">
        <is>
          <t>036</t>
        </is>
      </c>
      <c r="B30" s="5" t="n"/>
      <c r="C30" s="21" t="inlineStr">
        <is>
          <t>Melloblum</t>
        </is>
      </c>
      <c r="D30" s="27" t="inlineStr">
        <is>
          <t>Plante</t>
        </is>
      </c>
      <c r="E30" s="8" t="inlineStr">
        <is>
          <t>SUPPORT</t>
        </is>
      </c>
      <c r="F30" s="19" t="inlineStr">
        <is>
          <t>🔨 Artisanat (Artisanship)</t>
        </is>
      </c>
      <c r="G30" s="20" t="inlineStr">
        <is>
          <t>Lv.3</t>
        </is>
      </c>
      <c r="H30" s="5" t="n">
        <v>108</v>
      </c>
      <c r="I30" s="5" t="n">
        <v>95</v>
      </c>
      <c r="J30" s="5" t="n">
        <v>70</v>
      </c>
      <c r="K30" s="5" t="n">
        <v>70</v>
      </c>
      <c r="L30" s="5" t="n">
        <v>91</v>
      </c>
      <c r="M30" s="5" t="n">
        <v>78</v>
      </c>
      <c r="N30" s="5">
        <f>SUM(H30:M30)</f>
        <v/>
      </c>
      <c r="O30" s="11">
        <f>RANK(H30,$H$5:$H$98)</f>
        <v/>
      </c>
      <c r="P30" s="11">
        <f>RANK(N30,$N$5:$N$98)</f>
        <v/>
      </c>
    </row>
    <row r="31" ht="26" customHeight="1">
      <c r="A31" s="5" t="inlineStr">
        <is>
          <t>028</t>
        </is>
      </c>
      <c r="B31" s="5" t="n"/>
      <c r="C31" s="21" t="inlineStr">
        <is>
          <t>Flamerion</t>
        </is>
      </c>
      <c r="D31" s="31" t="inlineStr">
        <is>
          <t>Feu</t>
        </is>
      </c>
      <c r="E31" s="32" t="inlineStr">
        <is>
          <t>REGEN</t>
        </is>
      </c>
      <c r="F31" s="28" t="inlineStr">
        <is>
          <t>—  n.c.</t>
        </is>
      </c>
      <c r="G31" s="29" t="inlineStr">
        <is>
          <t>—</t>
        </is>
      </c>
      <c r="H31" s="5" t="n">
        <v>108</v>
      </c>
      <c r="I31" s="5" t="n">
        <v>80</v>
      </c>
      <c r="J31" s="5" t="n">
        <v>70</v>
      </c>
      <c r="K31" s="5" t="n">
        <v>79</v>
      </c>
      <c r="L31" s="5" t="n">
        <v>50</v>
      </c>
      <c r="M31" s="5" t="n">
        <v>115</v>
      </c>
      <c r="N31" s="5">
        <f>SUM(H31:M31)</f>
        <v/>
      </c>
      <c r="O31" s="11">
        <f>RANK(H31,$H$5:$H$98)</f>
        <v/>
      </c>
      <c r="P31" s="11">
        <f>RANK(N31,$N$5:$N$98)</f>
        <v/>
      </c>
    </row>
    <row r="32" ht="26" customHeight="1">
      <c r="A32" s="5" t="inlineStr">
        <is>
          <t>042</t>
        </is>
      </c>
      <c r="B32" s="5" t="n"/>
      <c r="C32" s="21" t="inlineStr">
        <is>
          <t>Wisptis</t>
        </is>
      </c>
      <c r="D32" s="18" t="inlineStr">
        <is>
          <t>Ténèbres</t>
        </is>
      </c>
      <c r="E32" s="15" t="inlineStr">
        <is>
          <t>DPS</t>
        </is>
      </c>
      <c r="F32" s="19" t="inlineStr">
        <is>
          <t>🔨 Artisanat (Artisanship)</t>
        </is>
      </c>
      <c r="G32" s="20" t="inlineStr">
        <is>
          <t>Lv.3</t>
        </is>
      </c>
      <c r="H32" s="5" t="n">
        <v>108</v>
      </c>
      <c r="I32" s="5" t="n">
        <v>77</v>
      </c>
      <c r="J32" s="5" t="n">
        <v>60</v>
      </c>
      <c r="K32" s="5" t="n">
        <v>54</v>
      </c>
      <c r="L32" s="5" t="n">
        <v>43</v>
      </c>
      <c r="M32" s="5" t="n">
        <v>77</v>
      </c>
      <c r="N32" s="5">
        <f>SUM(H32:M32)</f>
        <v/>
      </c>
      <c r="O32" s="11">
        <f>RANK(H32,$H$5:$H$98)</f>
        <v/>
      </c>
      <c r="P32" s="11">
        <f>RANK(N32,$N$5:$N$98)</f>
        <v/>
      </c>
    </row>
    <row r="33" ht="26" customHeight="1">
      <c r="A33" s="5" t="inlineStr">
        <is>
          <t>069</t>
        </is>
      </c>
      <c r="B33" s="5" t="n"/>
      <c r="C33" s="21" t="inlineStr">
        <is>
          <t>Cubbo</t>
        </is>
      </c>
      <c r="D33" s="22" t="inlineStr">
        <is>
          <t>Roche</t>
        </is>
      </c>
      <c r="E33" s="15" t="inlineStr">
        <is>
          <t>DPS</t>
        </is>
      </c>
      <c r="F33" s="9" t="inlineStr">
        <is>
          <t>📦 Portage (Carry)</t>
        </is>
      </c>
      <c r="G33" s="10" t="inlineStr">
        <is>
          <t>Lv.1</t>
        </is>
      </c>
      <c r="H33" s="5" t="n">
        <v>107</v>
      </c>
      <c r="I33" s="5" t="n">
        <v>92</v>
      </c>
      <c r="J33" s="5" t="n">
        <v>71</v>
      </c>
      <c r="K33" s="5" t="n">
        <v>62</v>
      </c>
      <c r="L33" s="5" t="n">
        <v>42</v>
      </c>
      <c r="M33" s="5" t="n">
        <v>71</v>
      </c>
      <c r="N33" s="5">
        <f>SUM(H33:M33)</f>
        <v/>
      </c>
      <c r="O33" s="11">
        <f>RANK(H33,$H$5:$H$98)</f>
        <v/>
      </c>
      <c r="P33" s="11">
        <f>RANK(N33,$N$5:$N$98)</f>
        <v/>
      </c>
    </row>
    <row r="34" ht="26" customHeight="1">
      <c r="A34" s="5" t="inlineStr">
        <is>
          <t>041</t>
        </is>
      </c>
      <c r="B34" s="5" t="n"/>
      <c r="C34" s="21" t="inlineStr">
        <is>
          <t>Fragrancier</t>
        </is>
      </c>
      <c r="D34" s="18" t="inlineStr">
        <is>
          <t>Ténèbres</t>
        </is>
      </c>
      <c r="E34" s="8" t="inlineStr">
        <is>
          <t>SUPPORT</t>
        </is>
      </c>
      <c r="F34" s="33" t="inlineStr">
        <is>
          <t>🌸 Parfumerie (Perfumery) + 🪁 Loisir (Leisure)</t>
        </is>
      </c>
      <c r="G34" s="25" t="inlineStr">
        <is>
          <t>Lv.4</t>
        </is>
      </c>
      <c r="H34" s="5" t="n">
        <v>106</v>
      </c>
      <c r="I34" s="5" t="n">
        <v>84</v>
      </c>
      <c r="J34" s="5" t="n">
        <v>68</v>
      </c>
      <c r="K34" s="5" t="n">
        <v>65</v>
      </c>
      <c r="L34" s="5" t="n">
        <v>81</v>
      </c>
      <c r="M34" s="5" t="n">
        <v>110</v>
      </c>
      <c r="N34" s="5">
        <f>SUM(H34:M34)</f>
        <v/>
      </c>
      <c r="O34" s="11">
        <f>RANK(H34,$H$5:$H$98)</f>
        <v/>
      </c>
      <c r="P34" s="11">
        <f>RANK(N34,$N$5:$N$98)</f>
        <v/>
      </c>
    </row>
    <row r="35" ht="26" customHeight="1">
      <c r="A35" s="5" t="inlineStr">
        <is>
          <t>060</t>
        </is>
      </c>
      <c r="B35" s="5" t="n"/>
      <c r="C35" s="21" t="inlineStr">
        <is>
          <t>Fentuft</t>
        </is>
      </c>
      <c r="D35" s="14" t="inlineStr">
        <is>
          <t>Foudre</t>
        </is>
      </c>
      <c r="E35" s="15" t="inlineStr">
        <is>
          <t>DPS</t>
        </is>
      </c>
      <c r="F35" s="9" t="inlineStr">
        <is>
          <t>📦 Portage (Carry)</t>
        </is>
      </c>
      <c r="G35" s="10" t="inlineStr">
        <is>
          <t>Lv.1</t>
        </is>
      </c>
      <c r="H35" s="5" t="n">
        <v>106</v>
      </c>
      <c r="I35" s="5" t="n">
        <v>85</v>
      </c>
      <c r="J35" s="5" t="n">
        <v>60</v>
      </c>
      <c r="K35" s="5" t="n">
        <v>60</v>
      </c>
      <c r="L35" s="5" t="n">
        <v>41</v>
      </c>
      <c r="M35" s="5" t="n">
        <v>77</v>
      </c>
      <c r="N35" s="5">
        <f>SUM(H35:M35)</f>
        <v/>
      </c>
      <c r="O35" s="11">
        <f>RANK(H35,$H$5:$H$98)</f>
        <v/>
      </c>
      <c r="P35" s="11">
        <f>RANK(N35,$N$5:$N$98)</f>
        <v/>
      </c>
    </row>
    <row r="36" ht="26" customHeight="1">
      <c r="A36" s="5" t="inlineStr">
        <is>
          <t>005</t>
        </is>
      </c>
      <c r="B36" s="5" t="n"/>
      <c r="C36" s="21" t="inlineStr">
        <is>
          <t>Celestis</t>
        </is>
      </c>
      <c r="D36" s="18" t="inlineStr">
        <is>
          <t>Ténèbres</t>
        </is>
      </c>
      <c r="E36" s="15" t="inlineStr">
        <is>
          <t>DPS</t>
        </is>
      </c>
      <c r="F36" s="24" t="inlineStr">
        <is>
          <t>🪁 Loisir (Leisure)</t>
        </is>
      </c>
      <c r="G36" s="25" t="inlineStr">
        <is>
          <t>Lv.4</t>
        </is>
      </c>
      <c r="H36" s="5" t="n">
        <v>106</v>
      </c>
      <c r="I36" s="5" t="n">
        <v>77</v>
      </c>
      <c r="J36" s="5" t="n">
        <v>54</v>
      </c>
      <c r="K36" s="5" t="n">
        <v>57</v>
      </c>
      <c r="L36" s="5" t="n">
        <v>42</v>
      </c>
      <c r="M36" s="5" t="n">
        <v>76</v>
      </c>
      <c r="N36" s="5">
        <f>SUM(H36:M36)</f>
        <v/>
      </c>
      <c r="O36" s="11">
        <f>RANK(H36,$H$5:$H$98)</f>
        <v/>
      </c>
      <c r="P36" s="11">
        <f>RANK(N36,$N$5:$N$98)</f>
        <v/>
      </c>
    </row>
    <row r="37" ht="26" customHeight="1">
      <c r="A37" s="5" t="inlineStr">
        <is>
          <t>092</t>
        </is>
      </c>
      <c r="B37" s="5" t="n"/>
      <c r="C37" s="21" t="inlineStr">
        <is>
          <t>Malangel</t>
        </is>
      </c>
      <c r="D37" s="23" t="inlineStr">
        <is>
          <t>Glace</t>
        </is>
      </c>
      <c r="E37" s="15" t="inlineStr">
        <is>
          <t>DPS</t>
        </is>
      </c>
      <c r="F37" s="19" t="inlineStr">
        <is>
          <t>🔨 Artisanat (Artisanship)</t>
        </is>
      </c>
      <c r="G37" s="20" t="inlineStr">
        <is>
          <t>Lv.3</t>
        </is>
      </c>
      <c r="H37" s="5" t="n">
        <v>105</v>
      </c>
      <c r="I37" s="5" t="n">
        <v>100</v>
      </c>
      <c r="J37" s="5" t="n">
        <v>80</v>
      </c>
      <c r="K37" s="5" t="n">
        <v>80</v>
      </c>
      <c r="L37" s="5" t="n">
        <v>50</v>
      </c>
      <c r="M37" s="5" t="n">
        <v>100</v>
      </c>
      <c r="N37" s="5">
        <f>SUM(H37:M37)</f>
        <v/>
      </c>
      <c r="O37" s="11">
        <f>RANK(H37,$H$5:$H$98)</f>
        <v/>
      </c>
      <c r="P37" s="11">
        <f>RANK(N37,$N$5:$N$98)</f>
        <v/>
      </c>
    </row>
    <row r="38" ht="26" customHeight="1">
      <c r="A38" s="5" t="inlineStr">
        <is>
          <t>046</t>
        </is>
      </c>
      <c r="B38" s="5" t="n"/>
      <c r="C38" s="21" t="inlineStr">
        <is>
          <t>Fenrier</t>
        </is>
      </c>
      <c r="D38" s="23" t="inlineStr">
        <is>
          <t>Glace</t>
        </is>
      </c>
      <c r="E38" s="15" t="inlineStr">
        <is>
          <t>DPS</t>
        </is>
      </c>
      <c r="F38" s="19" t="inlineStr">
        <is>
          <t>🔨 Artisanat (Artisanship)</t>
        </is>
      </c>
      <c r="G38" s="20" t="inlineStr">
        <is>
          <t>Lv.3</t>
        </is>
      </c>
      <c r="H38" s="5" t="n">
        <v>105</v>
      </c>
      <c r="I38" s="5" t="n">
        <v>86</v>
      </c>
      <c r="J38" s="5" t="n">
        <v>68</v>
      </c>
      <c r="K38" s="5" t="n">
        <v>68</v>
      </c>
      <c r="L38" s="5" t="n">
        <v>45</v>
      </c>
      <c r="M38" s="5" t="n">
        <v>81</v>
      </c>
      <c r="N38" s="5">
        <f>SUM(H38:M38)</f>
        <v/>
      </c>
      <c r="O38" s="11">
        <f>RANK(H38,$H$5:$H$98)</f>
        <v/>
      </c>
      <c r="P38" s="11">
        <f>RANK(N38,$N$5:$N$98)</f>
        <v/>
      </c>
    </row>
    <row r="39" ht="26" customHeight="1">
      <c r="A39" s="5" t="inlineStr">
        <is>
          <t>002</t>
        </is>
      </c>
      <c r="B39" s="5" t="n"/>
      <c r="C39" s="21" t="inlineStr">
        <is>
          <t>Flameruff</t>
        </is>
      </c>
      <c r="D39" s="31" t="inlineStr">
        <is>
          <t>Feu</t>
        </is>
      </c>
      <c r="E39" s="15" t="inlineStr">
        <is>
          <t>DPS</t>
        </is>
      </c>
      <c r="F39" s="9" t="inlineStr">
        <is>
          <t>📦 Portage (Carry)</t>
        </is>
      </c>
      <c r="G39" s="10" t="inlineStr">
        <is>
          <t>Lv.1</t>
        </is>
      </c>
      <c r="H39" s="5" t="n">
        <v>104</v>
      </c>
      <c r="I39" s="5" t="n">
        <v>81</v>
      </c>
      <c r="J39" s="5" t="n">
        <v>72</v>
      </c>
      <c r="K39" s="5" t="n">
        <v>63</v>
      </c>
      <c r="L39" s="5" t="n">
        <v>45</v>
      </c>
      <c r="M39" s="5" t="n">
        <v>80</v>
      </c>
      <c r="N39" s="5">
        <f>SUM(H39:M39)</f>
        <v/>
      </c>
      <c r="O39" s="11">
        <f>RANK(H39,$H$5:$H$98)</f>
        <v/>
      </c>
      <c r="P39" s="11">
        <f>RANK(N39,$N$5:$N$98)</f>
        <v/>
      </c>
    </row>
    <row r="40" ht="26" customHeight="1">
      <c r="A40" s="5" t="inlineStr">
        <is>
          <t>034</t>
        </is>
      </c>
      <c r="B40" s="5" t="n"/>
      <c r="C40" s="21" t="inlineStr">
        <is>
          <t>Budsquire</t>
        </is>
      </c>
      <c r="D40" s="27" t="inlineStr">
        <is>
          <t>Plante</t>
        </is>
      </c>
      <c r="E40" s="15" t="inlineStr">
        <is>
          <t>DPS</t>
        </is>
      </c>
      <c r="F40" s="19" t="inlineStr">
        <is>
          <t>🔨 Artisanat (Artisanship)</t>
        </is>
      </c>
      <c r="G40" s="20" t="inlineStr">
        <is>
          <t>Lv.3</t>
        </is>
      </c>
      <c r="H40" s="5" t="n">
        <v>103</v>
      </c>
      <c r="I40" s="5" t="n">
        <v>82</v>
      </c>
      <c r="J40" s="5" t="n">
        <v>59</v>
      </c>
      <c r="K40" s="5" t="n">
        <v>59</v>
      </c>
      <c r="L40" s="5" t="n">
        <v>43</v>
      </c>
      <c r="M40" s="5" t="n">
        <v>78</v>
      </c>
      <c r="N40" s="5">
        <f>SUM(H40:M40)</f>
        <v/>
      </c>
      <c r="O40" s="11">
        <f>RANK(H40,$H$5:$H$98)</f>
        <v/>
      </c>
      <c r="P40" s="11">
        <f>RANK(N40,$N$5:$N$98)</f>
        <v/>
      </c>
    </row>
    <row r="41" ht="26" customHeight="1">
      <c r="A41" s="5" t="inlineStr">
        <is>
          <t>090</t>
        </is>
      </c>
      <c r="B41" s="5" t="n"/>
      <c r="C41" s="21" t="inlineStr">
        <is>
          <t>Popapus</t>
        </is>
      </c>
      <c r="D41" s="26" t="inlineStr">
        <is>
          <t>Eau</t>
        </is>
      </c>
      <c r="E41" s="15" t="inlineStr">
        <is>
          <t>DPS</t>
        </is>
      </c>
      <c r="F41" s="28" t="inlineStr">
        <is>
          <t>—  n.c.</t>
        </is>
      </c>
      <c r="G41" s="29" t="inlineStr">
        <is>
          <t>—</t>
        </is>
      </c>
      <c r="H41" s="5" t="n">
        <v>102</v>
      </c>
      <c r="I41" s="5" t="n">
        <v>90</v>
      </c>
      <c r="J41" s="5" t="n">
        <v>58</v>
      </c>
      <c r="K41" s="5" t="n">
        <v>65</v>
      </c>
      <c r="L41" s="5" t="n">
        <v>45</v>
      </c>
      <c r="M41" s="5" t="n">
        <v>90</v>
      </c>
      <c r="N41" s="5">
        <f>SUM(H41:M41)</f>
        <v/>
      </c>
      <c r="O41" s="11">
        <f>RANK(H41,$H$5:$H$98)</f>
        <v/>
      </c>
      <c r="P41" s="11">
        <f>RANK(N41,$N$5:$N$98)</f>
        <v/>
      </c>
    </row>
    <row r="42" ht="26" customHeight="1">
      <c r="A42" s="5" t="inlineStr">
        <is>
          <t>057</t>
        </is>
      </c>
      <c r="B42" s="5" t="n"/>
      <c r="C42" s="21" t="inlineStr">
        <is>
          <t>Baleetle</t>
        </is>
      </c>
      <c r="D42" s="22" t="inlineStr">
        <is>
          <t>Roche</t>
        </is>
      </c>
      <c r="E42" s="15" t="inlineStr">
        <is>
          <t>DPS</t>
        </is>
      </c>
      <c r="F42" s="24" t="inlineStr">
        <is>
          <t>🪁 Loisir (Leisure)</t>
        </is>
      </c>
      <c r="G42" s="25" t="inlineStr">
        <is>
          <t>Lv.4</t>
        </is>
      </c>
      <c r="H42" s="5" t="n">
        <v>102</v>
      </c>
      <c r="I42" s="5" t="n">
        <v>77</v>
      </c>
      <c r="J42" s="5" t="n">
        <v>68</v>
      </c>
      <c r="K42" s="5" t="n">
        <v>68</v>
      </c>
      <c r="L42" s="5" t="n">
        <v>42</v>
      </c>
      <c r="M42" s="5" t="n">
        <v>85</v>
      </c>
      <c r="N42" s="5">
        <f>SUM(H42:M42)</f>
        <v/>
      </c>
      <c r="O42" s="11">
        <f>RANK(H42,$H$5:$H$98)</f>
        <v/>
      </c>
      <c r="P42" s="11">
        <f>RANK(N42,$N$5:$N$98)</f>
        <v/>
      </c>
    </row>
    <row r="43" ht="26" customHeight="1">
      <c r="A43" s="5" t="inlineStr">
        <is>
          <t>011</t>
        </is>
      </c>
      <c r="B43" s="5" t="n"/>
      <c r="C43" s="21" t="inlineStr">
        <is>
          <t>Iris</t>
        </is>
      </c>
      <c r="D43" s="27" t="inlineStr">
        <is>
          <t>Plante</t>
        </is>
      </c>
      <c r="E43" s="15" t="inlineStr">
        <is>
          <t>DPS</t>
        </is>
      </c>
      <c r="F43" s="24" t="inlineStr">
        <is>
          <t>🪁 Loisir (Leisure)</t>
        </is>
      </c>
      <c r="G43" s="25" t="inlineStr">
        <is>
          <t>Lv.4</t>
        </is>
      </c>
      <c r="H43" s="5" t="n">
        <v>101</v>
      </c>
      <c r="I43" s="5" t="n">
        <v>69</v>
      </c>
      <c r="J43" s="5" t="n">
        <v>53</v>
      </c>
      <c r="K43" s="5" t="n">
        <v>53</v>
      </c>
      <c r="L43" s="5" t="n">
        <v>50</v>
      </c>
      <c r="M43" s="5" t="n">
        <v>71</v>
      </c>
      <c r="N43" s="5">
        <f>SUM(H43:M43)</f>
        <v/>
      </c>
      <c r="O43" s="11">
        <f>RANK(H43,$H$5:$H$98)</f>
        <v/>
      </c>
      <c r="P43" s="11">
        <f>RANK(N43,$N$5:$N$98)</f>
        <v/>
      </c>
    </row>
    <row r="44" ht="26" customHeight="1">
      <c r="A44" s="5" t="inlineStr">
        <is>
          <t>089</t>
        </is>
      </c>
      <c r="B44" s="5" t="n"/>
      <c r="C44" s="21" t="inlineStr">
        <is>
          <t>Glameep</t>
        </is>
      </c>
      <c r="D44" s="27" t="inlineStr">
        <is>
          <t>Plante, Eau</t>
        </is>
      </c>
      <c r="E44" s="34" t="inlineStr">
        <is>
          <t>HEAL</t>
        </is>
      </c>
      <c r="F44" s="28" t="inlineStr">
        <is>
          <t>—  n.c.</t>
        </is>
      </c>
      <c r="G44" s="29" t="inlineStr">
        <is>
          <t>—</t>
        </is>
      </c>
      <c r="H44" s="5" t="n">
        <v>100</v>
      </c>
      <c r="I44" s="5" t="n">
        <v>122</v>
      </c>
      <c r="J44" s="5" t="n">
        <v>92</v>
      </c>
      <c r="K44" s="5" t="n">
        <v>89</v>
      </c>
      <c r="L44" s="5" t="n">
        <v>50</v>
      </c>
      <c r="M44" s="5" t="n">
        <v>97</v>
      </c>
      <c r="N44" s="5">
        <f>SUM(H44:M44)</f>
        <v/>
      </c>
      <c r="O44" s="11">
        <f>RANK(H44,$H$5:$H$98)</f>
        <v/>
      </c>
      <c r="P44" s="11">
        <f>RANK(N44,$N$5:$N$98)</f>
        <v/>
      </c>
    </row>
    <row r="45" ht="26" customHeight="1">
      <c r="A45" s="5" t="inlineStr">
        <is>
          <t>049</t>
        </is>
      </c>
      <c r="B45" s="5" t="n"/>
      <c r="C45" s="21" t="inlineStr">
        <is>
          <t>Blazen</t>
        </is>
      </c>
      <c r="D45" s="14" t="inlineStr">
        <is>
          <t>Foudre</t>
        </is>
      </c>
      <c r="E45" s="35" t="inlineStr">
        <is>
          <t>BREAK</t>
        </is>
      </c>
      <c r="F45" s="19" t="inlineStr">
        <is>
          <t>🔨 Artisanat (Artisanship)</t>
        </is>
      </c>
      <c r="G45" s="20" t="inlineStr">
        <is>
          <t>Lv.3</t>
        </is>
      </c>
      <c r="H45" s="5" t="n">
        <v>100</v>
      </c>
      <c r="I45" s="5" t="n">
        <v>100</v>
      </c>
      <c r="J45" s="5" t="n">
        <v>70</v>
      </c>
      <c r="K45" s="5" t="n">
        <v>70</v>
      </c>
      <c r="L45" s="5" t="n">
        <v>104</v>
      </c>
      <c r="M45" s="5" t="n">
        <v>86</v>
      </c>
      <c r="N45" s="5">
        <f>SUM(H45:M45)</f>
        <v/>
      </c>
      <c r="O45" s="11">
        <f>RANK(H45,$H$5:$H$98)</f>
        <v/>
      </c>
      <c r="P45" s="11">
        <f>RANK(N45,$N$5:$N$98)</f>
        <v/>
      </c>
    </row>
    <row r="46" ht="26" customHeight="1">
      <c r="A46" s="5" t="inlineStr">
        <is>
          <t>051</t>
        </is>
      </c>
      <c r="B46" s="5" t="n"/>
      <c r="C46" s="21" t="inlineStr">
        <is>
          <t>Popota</t>
        </is>
      </c>
      <c r="D46" s="26" t="inlineStr">
        <is>
          <t>Eau</t>
        </is>
      </c>
      <c r="E46" s="35" t="inlineStr">
        <is>
          <t>BREAK</t>
        </is>
      </c>
      <c r="F46" s="24" t="inlineStr">
        <is>
          <t>🪁 Loisir (Leisure)</t>
        </is>
      </c>
      <c r="G46" s="25" t="inlineStr">
        <is>
          <t>Lv.4</t>
        </is>
      </c>
      <c r="H46" s="5" t="n">
        <v>96</v>
      </c>
      <c r="I46" s="5" t="n">
        <v>92</v>
      </c>
      <c r="J46" s="5" t="n">
        <v>68</v>
      </c>
      <c r="K46" s="5" t="n">
        <v>68</v>
      </c>
      <c r="L46" s="5" t="n">
        <v>80</v>
      </c>
      <c r="M46" s="5" t="n">
        <v>67</v>
      </c>
      <c r="N46" s="5">
        <f>SUM(H46:M46)</f>
        <v/>
      </c>
      <c r="O46" s="11">
        <f>RANK(H46,$H$5:$H$98)</f>
        <v/>
      </c>
      <c r="P46" s="11">
        <f>RANK(N46,$N$5:$N$98)</f>
        <v/>
      </c>
    </row>
    <row r="47" ht="26" customHeight="1">
      <c r="A47" s="5" t="inlineStr">
        <is>
          <t>030</t>
        </is>
      </c>
      <c r="B47" s="5" t="n"/>
      <c r="C47" s="21" t="inlineStr">
        <is>
          <t>Gracewing</t>
        </is>
      </c>
      <c r="D47" s="7" t="inlineStr">
        <is>
          <t>Vent</t>
        </is>
      </c>
      <c r="E47" s="34" t="inlineStr">
        <is>
          <t>HEAL</t>
        </is>
      </c>
      <c r="F47" s="24" t="inlineStr">
        <is>
          <t>🪁 Loisir (Leisure)</t>
        </is>
      </c>
      <c r="G47" s="25" t="inlineStr">
        <is>
          <t>Lv.4</t>
        </is>
      </c>
      <c r="H47" s="5" t="n">
        <v>95</v>
      </c>
      <c r="I47" s="5" t="n">
        <v>110</v>
      </c>
      <c r="J47" s="5" t="n">
        <v>80</v>
      </c>
      <c r="K47" s="5" t="n">
        <v>80</v>
      </c>
      <c r="L47" s="5" t="n">
        <v>50</v>
      </c>
      <c r="M47" s="5" t="n">
        <v>100</v>
      </c>
      <c r="N47" s="5">
        <f>SUM(H47:M47)</f>
        <v/>
      </c>
      <c r="O47" s="11">
        <f>RANK(H47,$H$5:$H$98)</f>
        <v/>
      </c>
      <c r="P47" s="11">
        <f>RANK(N47,$N$5:$N$98)</f>
        <v/>
      </c>
    </row>
    <row r="48" ht="26" customHeight="1">
      <c r="A48" s="5" t="inlineStr">
        <is>
          <t>064</t>
        </is>
      </c>
      <c r="B48" s="5" t="n"/>
      <c r="C48" s="21" t="inlineStr">
        <is>
          <t>Rookey</t>
        </is>
      </c>
      <c r="D48" s="18" t="inlineStr">
        <is>
          <t>Ténèbres</t>
        </is>
      </c>
      <c r="E48" s="35" t="inlineStr">
        <is>
          <t>BREAK</t>
        </is>
      </c>
      <c r="F48" s="19" t="inlineStr">
        <is>
          <t>🔨 Artisanat (Artisanship)</t>
        </is>
      </c>
      <c r="G48" s="20" t="inlineStr">
        <is>
          <t>Lv.3</t>
        </is>
      </c>
      <c r="H48" s="5" t="n">
        <v>92</v>
      </c>
      <c r="I48" s="5" t="n">
        <v>103</v>
      </c>
      <c r="J48" s="5" t="n">
        <v>103</v>
      </c>
      <c r="K48" s="5" t="n">
        <v>70</v>
      </c>
      <c r="L48" s="5" t="n">
        <v>105</v>
      </c>
      <c r="M48" s="5" t="n">
        <v>75</v>
      </c>
      <c r="N48" s="5">
        <f>SUM(H48:M48)</f>
        <v/>
      </c>
      <c r="O48" s="11">
        <f>RANK(H48,$H$5:$H$98)</f>
        <v/>
      </c>
      <c r="P48" s="11">
        <f>RANK(N48,$N$5:$N$98)</f>
        <v/>
      </c>
    </row>
    <row r="49" ht="26" customHeight="1">
      <c r="A49" s="5" t="inlineStr">
        <is>
          <t>031</t>
        </is>
      </c>
      <c r="B49" s="5" t="n"/>
      <c r="C49" s="21" t="inlineStr">
        <is>
          <t>Somniwing</t>
        </is>
      </c>
      <c r="D49" s="7" t="inlineStr">
        <is>
          <t>Vent, Plante</t>
        </is>
      </c>
      <c r="E49" s="32" t="inlineStr">
        <is>
          <t>REGEN</t>
        </is>
      </c>
      <c r="F49" s="24" t="inlineStr">
        <is>
          <t>🪁 Loisir (Leisure)</t>
        </is>
      </c>
      <c r="G49" s="25" t="inlineStr">
        <is>
          <t>Lv.4</t>
        </is>
      </c>
      <c r="H49" s="5" t="n">
        <v>92</v>
      </c>
      <c r="I49" s="5" t="n">
        <v>111</v>
      </c>
      <c r="J49" s="5" t="n">
        <v>80</v>
      </c>
      <c r="K49" s="5" t="n">
        <v>80</v>
      </c>
      <c r="L49" s="5" t="n">
        <v>50</v>
      </c>
      <c r="M49" s="5" t="n">
        <v>115</v>
      </c>
      <c r="N49" s="5">
        <f>SUM(H49:M49)</f>
        <v/>
      </c>
      <c r="O49" s="11">
        <f>RANK(H49,$H$5:$H$98)</f>
        <v/>
      </c>
      <c r="P49" s="11">
        <f>RANK(N49,$N$5:$N$98)</f>
        <v/>
      </c>
    </row>
    <row r="50" ht="26" customHeight="1">
      <c r="A50" s="5" t="inlineStr">
        <is>
          <t>027</t>
        </is>
      </c>
      <c r="B50" s="5" t="n"/>
      <c r="C50" s="21" t="inlineStr">
        <is>
          <t>Sparki</t>
        </is>
      </c>
      <c r="D50" s="31" t="inlineStr">
        <is>
          <t>Feu</t>
        </is>
      </c>
      <c r="E50" s="32" t="inlineStr">
        <is>
          <t>REGEN</t>
        </is>
      </c>
      <c r="F50" s="28" t="inlineStr">
        <is>
          <t>—  n.c.</t>
        </is>
      </c>
      <c r="G50" s="29" t="inlineStr">
        <is>
          <t>—</t>
        </is>
      </c>
      <c r="H50" s="5" t="n">
        <v>92</v>
      </c>
      <c r="I50" s="5" t="n">
        <v>68</v>
      </c>
      <c r="J50" s="5" t="n">
        <v>60</v>
      </c>
      <c r="K50" s="5" t="n">
        <v>67</v>
      </c>
      <c r="L50" s="5" t="n">
        <v>41</v>
      </c>
      <c r="M50" s="5" t="n">
        <v>98</v>
      </c>
      <c r="N50" s="5">
        <f>SUM(H50:M50)</f>
        <v/>
      </c>
      <c r="O50" s="11">
        <f>RANK(H50,$H$5:$H$98)</f>
        <v/>
      </c>
      <c r="P50" s="11">
        <f>RANK(N50,$N$5:$N$98)</f>
        <v/>
      </c>
    </row>
    <row r="51" ht="26" customHeight="1">
      <c r="A51" s="5" t="inlineStr">
        <is>
          <t>073</t>
        </is>
      </c>
      <c r="B51" s="5" t="n"/>
      <c r="C51" s="21" t="inlineStr">
        <is>
          <t>Magmarex</t>
        </is>
      </c>
      <c r="D51" s="31" t="inlineStr">
        <is>
          <t>Feu, Roche</t>
        </is>
      </c>
      <c r="E51" s="35" t="inlineStr">
        <is>
          <t>BREAK</t>
        </is>
      </c>
      <c r="F51" s="9" t="inlineStr">
        <is>
          <t>📦 Portage (Carry)</t>
        </is>
      </c>
      <c r="G51" s="10" t="inlineStr">
        <is>
          <t>Lv.1</t>
        </is>
      </c>
      <c r="H51" s="5" t="n">
        <v>91</v>
      </c>
      <c r="I51" s="5" t="n">
        <v>110</v>
      </c>
      <c r="J51" s="5" t="n">
        <v>70</v>
      </c>
      <c r="K51" s="5" t="n">
        <v>99</v>
      </c>
      <c r="L51" s="5" t="n">
        <v>104</v>
      </c>
      <c r="M51" s="5" t="n">
        <v>75</v>
      </c>
      <c r="N51" s="5">
        <f>SUM(H51:M51)</f>
        <v/>
      </c>
      <c r="O51" s="11">
        <f>RANK(H51,$H$5:$H$98)</f>
        <v/>
      </c>
      <c r="P51" s="11">
        <f>RANK(N51,$N$5:$N$98)</f>
        <v/>
      </c>
    </row>
    <row r="52" ht="26" customHeight="1">
      <c r="A52" s="5" t="inlineStr">
        <is>
          <t>075</t>
        </is>
      </c>
      <c r="B52" s="5" t="n"/>
      <c r="C52" s="21" t="inlineStr">
        <is>
          <t>Minespine</t>
        </is>
      </c>
      <c r="D52" s="22" t="inlineStr">
        <is>
          <t>Roche</t>
        </is>
      </c>
      <c r="E52" s="35" t="inlineStr">
        <is>
          <t>BREAK</t>
        </is>
      </c>
      <c r="F52" s="9" t="inlineStr">
        <is>
          <t>📦 Portage (Carry)</t>
        </is>
      </c>
      <c r="G52" s="10" t="inlineStr">
        <is>
          <t>Lv.1</t>
        </is>
      </c>
      <c r="H52" s="5" t="n">
        <v>90</v>
      </c>
      <c r="I52" s="5" t="n">
        <v>110</v>
      </c>
      <c r="J52" s="5" t="n">
        <v>99</v>
      </c>
      <c r="K52" s="5" t="n">
        <v>60</v>
      </c>
      <c r="L52" s="5" t="n">
        <v>113</v>
      </c>
      <c r="M52" s="5" t="n">
        <v>78</v>
      </c>
      <c r="N52" s="5">
        <f>SUM(H52:M52)</f>
        <v/>
      </c>
      <c r="O52" s="11">
        <f>RANK(H52,$H$5:$H$98)</f>
        <v/>
      </c>
      <c r="P52" s="11">
        <f>RANK(N52,$N$5:$N$98)</f>
        <v/>
      </c>
    </row>
    <row r="53" ht="26" customHeight="1">
      <c r="A53" s="5" t="inlineStr">
        <is>
          <t>080</t>
        </is>
      </c>
      <c r="B53" s="5" t="n"/>
      <c r="C53" s="21" t="inlineStr">
        <is>
          <t>Luminelle</t>
        </is>
      </c>
      <c r="D53" s="14" t="inlineStr">
        <is>
          <t>Foudre</t>
        </is>
      </c>
      <c r="E53" s="8" t="inlineStr">
        <is>
          <t>SUPPORT</t>
        </is>
      </c>
      <c r="F53" s="19" t="inlineStr">
        <is>
          <t>🔨 Artisanat (Artisanship)</t>
        </is>
      </c>
      <c r="G53" s="20" t="inlineStr">
        <is>
          <t>Lv.3</t>
        </is>
      </c>
      <c r="H53" s="5" t="n">
        <v>90</v>
      </c>
      <c r="I53" s="5" t="n">
        <v>110</v>
      </c>
      <c r="J53" s="5" t="n">
        <v>85</v>
      </c>
      <c r="K53" s="5" t="n">
        <v>85</v>
      </c>
      <c r="L53" s="5" t="n">
        <v>50</v>
      </c>
      <c r="M53" s="5" t="n">
        <v>120</v>
      </c>
      <c r="N53" s="5">
        <f>SUM(H53:M53)</f>
        <v/>
      </c>
      <c r="O53" s="11">
        <f>RANK(H53,$H$5:$H$98)</f>
        <v/>
      </c>
      <c r="P53" s="11">
        <f>RANK(N53,$N$5:$N$98)</f>
        <v/>
      </c>
    </row>
    <row r="54" ht="26" customHeight="1">
      <c r="A54" s="5" t="inlineStr">
        <is>
          <t>082</t>
        </is>
      </c>
      <c r="B54" s="5" t="n"/>
      <c r="C54" s="21" t="inlineStr">
        <is>
          <t>Erlath</t>
        </is>
      </c>
      <c r="D54" s="26" t="inlineStr">
        <is>
          <t>Eau</t>
        </is>
      </c>
      <c r="E54" s="32" t="inlineStr">
        <is>
          <t>REGEN</t>
        </is>
      </c>
      <c r="F54" s="28" t="inlineStr">
        <is>
          <t>—  n.c.</t>
        </is>
      </c>
      <c r="G54" s="29" t="inlineStr">
        <is>
          <t>—</t>
        </is>
      </c>
      <c r="H54" s="5" t="n">
        <v>90</v>
      </c>
      <c r="I54" s="5" t="n">
        <v>120</v>
      </c>
      <c r="J54" s="5" t="n">
        <v>80</v>
      </c>
      <c r="K54" s="5" t="n">
        <v>90</v>
      </c>
      <c r="L54" s="5" t="n">
        <v>50</v>
      </c>
      <c r="M54" s="5" t="n">
        <v>110</v>
      </c>
      <c r="N54" s="5">
        <f>SUM(H54:M54)</f>
        <v/>
      </c>
      <c r="O54" s="11">
        <f>RANK(H54,$H$5:$H$98)</f>
        <v/>
      </c>
      <c r="P54" s="11">
        <f>RANK(N54,$N$5:$N$98)</f>
        <v/>
      </c>
    </row>
    <row r="55" ht="26" customHeight="1">
      <c r="A55" s="5" t="inlineStr">
        <is>
          <t>017</t>
        </is>
      </c>
      <c r="B55" s="5" t="n"/>
      <c r="C55" s="21" t="inlineStr">
        <is>
          <t>Leafy</t>
        </is>
      </c>
      <c r="D55" s="27" t="inlineStr">
        <is>
          <t>Plante, Eau</t>
        </is>
      </c>
      <c r="E55" s="32" t="inlineStr">
        <is>
          <t>REGEN</t>
        </is>
      </c>
      <c r="F55" s="9" t="inlineStr">
        <is>
          <t>📦 Portage (Carry)</t>
        </is>
      </c>
      <c r="G55" s="10" t="inlineStr">
        <is>
          <t>Lv.1</t>
        </is>
      </c>
      <c r="H55" s="5" t="n">
        <v>90</v>
      </c>
      <c r="I55" s="5" t="n">
        <v>120</v>
      </c>
      <c r="J55" s="5" t="n">
        <v>82</v>
      </c>
      <c r="K55" s="5" t="n">
        <v>82</v>
      </c>
      <c r="L55" s="5" t="n">
        <v>50</v>
      </c>
      <c r="M55" s="5" t="n">
        <v>106</v>
      </c>
      <c r="N55" s="5">
        <f>SUM(H55:M55)</f>
        <v/>
      </c>
      <c r="O55" s="11">
        <f>RANK(H55,$H$5:$H$98)</f>
        <v/>
      </c>
      <c r="P55" s="11">
        <f>RANK(N55,$N$5:$N$98)</f>
        <v/>
      </c>
    </row>
    <row r="56" ht="26" customHeight="1">
      <c r="A56" s="5" t="inlineStr">
        <is>
          <t>020</t>
        </is>
      </c>
      <c r="B56" s="5" t="n"/>
      <c r="C56" s="21" t="inlineStr">
        <is>
          <t>Dreaple</t>
        </is>
      </c>
      <c r="D56" s="18" t="inlineStr">
        <is>
          <t>Ténèbres</t>
        </is>
      </c>
      <c r="E56" s="8" t="inlineStr">
        <is>
          <t>SUPPORT</t>
        </is>
      </c>
      <c r="F56" s="24" t="inlineStr">
        <is>
          <t>🪁 Loisir (Leisure)</t>
        </is>
      </c>
      <c r="G56" s="25" t="inlineStr">
        <is>
          <t>Lv.4</t>
        </is>
      </c>
      <c r="H56" s="5" t="n">
        <v>90</v>
      </c>
      <c r="I56" s="5" t="n">
        <v>120</v>
      </c>
      <c r="J56" s="5" t="n">
        <v>77</v>
      </c>
      <c r="K56" s="5" t="n">
        <v>108</v>
      </c>
      <c r="L56" s="5" t="n">
        <v>55</v>
      </c>
      <c r="M56" s="5" t="n">
        <v>80</v>
      </c>
      <c r="N56" s="5">
        <f>SUM(H56:M56)</f>
        <v/>
      </c>
      <c r="O56" s="11">
        <f>RANK(H56,$H$5:$H$98)</f>
        <v/>
      </c>
      <c r="P56" s="11">
        <f>RANK(N56,$N$5:$N$98)</f>
        <v/>
      </c>
    </row>
    <row r="57" ht="26" customHeight="1">
      <c r="A57" s="5" t="inlineStr">
        <is>
          <t>016</t>
        </is>
      </c>
      <c r="B57" s="5" t="n"/>
      <c r="C57" s="21" t="inlineStr">
        <is>
          <t>Glacy</t>
        </is>
      </c>
      <c r="D57" s="26" t="inlineStr">
        <is>
          <t>Eau, Glace</t>
        </is>
      </c>
      <c r="E57" s="34" t="inlineStr">
        <is>
          <t>HEAL</t>
        </is>
      </c>
      <c r="F57" s="9" t="inlineStr">
        <is>
          <t>📦 Portage (Carry)</t>
        </is>
      </c>
      <c r="G57" s="10" t="inlineStr">
        <is>
          <t>Lv.1</t>
        </is>
      </c>
      <c r="H57" s="5" t="n">
        <v>90</v>
      </c>
      <c r="I57" s="5" t="n">
        <v>118</v>
      </c>
      <c r="J57" s="5" t="n">
        <v>72</v>
      </c>
      <c r="K57" s="5" t="n">
        <v>110</v>
      </c>
      <c r="L57" s="5" t="n">
        <v>50</v>
      </c>
      <c r="M57" s="5" t="n">
        <v>80</v>
      </c>
      <c r="N57" s="5">
        <f>SUM(H57:M57)</f>
        <v/>
      </c>
      <c r="O57" s="11">
        <f>RANK(H57,$H$5:$H$98)</f>
        <v/>
      </c>
      <c r="P57" s="11">
        <f>RANK(N57,$N$5:$N$98)</f>
        <v/>
      </c>
    </row>
    <row r="58" ht="26" customHeight="1">
      <c r="A58" s="5" t="inlineStr">
        <is>
          <t>019</t>
        </is>
      </c>
      <c r="B58" s="5" t="n"/>
      <c r="C58" s="21" t="inlineStr">
        <is>
          <t>Turbo</t>
        </is>
      </c>
      <c r="D58" s="7" t="inlineStr">
        <is>
          <t>Vent</t>
        </is>
      </c>
      <c r="E58" s="8" t="inlineStr">
        <is>
          <t>SUPPORT</t>
        </is>
      </c>
      <c r="F58" s="24" t="inlineStr">
        <is>
          <t>🪁 Loisir (Leisure)</t>
        </is>
      </c>
      <c r="G58" s="25" t="inlineStr">
        <is>
          <t>Lv.4</t>
        </is>
      </c>
      <c r="H58" s="5" t="n">
        <v>90</v>
      </c>
      <c r="I58" s="5" t="n">
        <v>95</v>
      </c>
      <c r="J58" s="5" t="n">
        <v>80</v>
      </c>
      <c r="K58" s="5" t="n">
        <v>96</v>
      </c>
      <c r="L58" s="5" t="n">
        <v>50</v>
      </c>
      <c r="M58" s="5" t="n">
        <v>109</v>
      </c>
      <c r="N58" s="5">
        <f>SUM(H58:M58)</f>
        <v/>
      </c>
      <c r="O58" s="11">
        <f>RANK(H58,$H$5:$H$98)</f>
        <v/>
      </c>
      <c r="P58" s="11">
        <f>RANK(N58,$N$5:$N$98)</f>
        <v/>
      </c>
    </row>
    <row r="59" ht="26" customHeight="1">
      <c r="A59" s="5" t="inlineStr">
        <is>
          <t>040</t>
        </is>
      </c>
      <c r="B59" s="5" t="n"/>
      <c r="C59" s="21" t="inlineStr">
        <is>
          <t>Dewy</t>
        </is>
      </c>
      <c r="D59" s="18" t="inlineStr">
        <is>
          <t>Ténèbres</t>
        </is>
      </c>
      <c r="E59" s="8" t="inlineStr">
        <is>
          <t>SUPPORT</t>
        </is>
      </c>
      <c r="F59" s="33" t="inlineStr">
        <is>
          <t>🌸 Parfumerie (Perfumery) + 🪁 Loisir (Leisure)</t>
        </is>
      </c>
      <c r="G59" s="25" t="inlineStr">
        <is>
          <t>Lv.4</t>
        </is>
      </c>
      <c r="H59" s="5" t="n">
        <v>90</v>
      </c>
      <c r="I59" s="5" t="n">
        <v>71</v>
      </c>
      <c r="J59" s="5" t="n">
        <v>58</v>
      </c>
      <c r="K59" s="5" t="n">
        <v>55</v>
      </c>
      <c r="L59" s="5" t="n">
        <v>69</v>
      </c>
      <c r="M59" s="5" t="n">
        <v>94</v>
      </c>
      <c r="N59" s="5">
        <f>SUM(H59:M59)</f>
        <v/>
      </c>
      <c r="O59" s="11">
        <f>RANK(H59,$H$5:$H$98)</f>
        <v/>
      </c>
      <c r="P59" s="11">
        <f>RANK(N59,$N$5:$N$98)</f>
        <v/>
      </c>
    </row>
    <row r="60" ht="26" customHeight="1">
      <c r="A60" s="5" t="inlineStr">
        <is>
          <t>054</t>
        </is>
      </c>
      <c r="B60" s="5" t="n"/>
      <c r="C60" s="21" t="inlineStr">
        <is>
          <t>Shelly</t>
        </is>
      </c>
      <c r="D60" s="26" t="inlineStr">
        <is>
          <t>Eau</t>
        </is>
      </c>
      <c r="E60" s="15" t="inlineStr">
        <is>
          <t>DPS</t>
        </is>
      </c>
      <c r="F60" s="24" t="inlineStr">
        <is>
          <t>🪁 Loisir (Leisure)</t>
        </is>
      </c>
      <c r="G60" s="25" t="inlineStr">
        <is>
          <t>Lv.4</t>
        </is>
      </c>
      <c r="H60" s="5" t="n">
        <v>90</v>
      </c>
      <c r="I60" s="5" t="n">
        <v>75</v>
      </c>
      <c r="J60" s="5" t="n">
        <v>56</v>
      </c>
      <c r="K60" s="5" t="n">
        <v>56</v>
      </c>
      <c r="L60" s="5" t="n">
        <v>39</v>
      </c>
      <c r="M60" s="5" t="n">
        <v>66</v>
      </c>
      <c r="N60" s="5">
        <f>SUM(H60:M60)</f>
        <v/>
      </c>
      <c r="O60" s="11">
        <f>RANK(H60,$H$5:$H$98)</f>
        <v/>
      </c>
      <c r="P60" s="11">
        <f>RANK(N60,$N$5:$N$98)</f>
        <v/>
      </c>
    </row>
    <row r="61" ht="26" customHeight="1">
      <c r="A61" s="5" t="inlineStr">
        <is>
          <t>004</t>
        </is>
      </c>
      <c r="B61" s="5" t="n"/>
      <c r="C61" s="21" t="inlineStr">
        <is>
          <t>Inferlupa</t>
        </is>
      </c>
      <c r="D61" s="31" t="inlineStr">
        <is>
          <t>Feu, Ténèbres</t>
        </is>
      </c>
      <c r="E61" s="35" t="inlineStr">
        <is>
          <t>BREAK</t>
        </is>
      </c>
      <c r="F61" s="9" t="inlineStr">
        <is>
          <t>📦 Portage (Carry)</t>
        </is>
      </c>
      <c r="G61" s="10" t="inlineStr">
        <is>
          <t>Lv.1</t>
        </is>
      </c>
      <c r="H61" s="5" t="n">
        <v>89</v>
      </c>
      <c r="I61" s="5" t="n">
        <v>95</v>
      </c>
      <c r="J61" s="5" t="n">
        <v>70</v>
      </c>
      <c r="K61" s="5" t="n">
        <v>80</v>
      </c>
      <c r="L61" s="5" t="n">
        <v>113</v>
      </c>
      <c r="M61" s="5" t="n">
        <v>104</v>
      </c>
      <c r="N61" s="5">
        <f>SUM(H61:M61)</f>
        <v/>
      </c>
      <c r="O61" s="11">
        <f>RANK(H61,$H$5:$H$98)</f>
        <v/>
      </c>
      <c r="P61" s="11">
        <f>RANK(N61,$N$5:$N$98)</f>
        <v/>
      </c>
    </row>
    <row r="62" ht="26" customHeight="1">
      <c r="A62" s="5" t="inlineStr">
        <is>
          <t>083</t>
        </is>
      </c>
      <c r="B62" s="5" t="n"/>
      <c r="C62" s="21" t="inlineStr">
        <is>
          <t>Besauce</t>
        </is>
      </c>
      <c r="D62" s="14" t="inlineStr">
        <is>
          <t>Foudre</t>
        </is>
      </c>
      <c r="E62" s="32" t="inlineStr">
        <is>
          <t>REGEN</t>
        </is>
      </c>
      <c r="F62" s="19" t="inlineStr">
        <is>
          <t>🔨 Artisanat (Artisanship)</t>
        </is>
      </c>
      <c r="G62" s="20" t="inlineStr">
        <is>
          <t>Lv.3</t>
        </is>
      </c>
      <c r="H62" s="5" t="n">
        <v>89</v>
      </c>
      <c r="I62" s="5" t="n">
        <v>82</v>
      </c>
      <c r="J62" s="5" t="n">
        <v>75</v>
      </c>
      <c r="K62" s="5" t="n">
        <v>75</v>
      </c>
      <c r="L62" s="5" t="n">
        <v>90</v>
      </c>
      <c r="M62" s="5" t="n">
        <v>110</v>
      </c>
      <c r="N62" s="5">
        <f>SUM(H62:M62)</f>
        <v/>
      </c>
      <c r="O62" s="11">
        <f>RANK(H62,$H$5:$H$98)</f>
        <v/>
      </c>
      <c r="P62" s="11">
        <f>RANK(N62,$N$5:$N$98)</f>
        <v/>
      </c>
    </row>
    <row r="63" ht="26" customHeight="1">
      <c r="A63" s="5" t="inlineStr">
        <is>
          <t>008</t>
        </is>
      </c>
      <c r="B63" s="5" t="n"/>
      <c r="C63" s="21" t="inlineStr">
        <is>
          <t>Tromber</t>
        </is>
      </c>
      <c r="D63" s="7" t="inlineStr">
        <is>
          <t>Vent</t>
        </is>
      </c>
      <c r="E63" s="8" t="inlineStr">
        <is>
          <t>SUPPORT</t>
        </is>
      </c>
      <c r="F63" s="28" t="inlineStr">
        <is>
          <t>—  n.c.</t>
        </is>
      </c>
      <c r="G63" s="29" t="inlineStr">
        <is>
          <t>—</t>
        </is>
      </c>
      <c r="H63" s="5" t="n">
        <v>88</v>
      </c>
      <c r="I63" s="5" t="n">
        <v>113</v>
      </c>
      <c r="J63" s="5" t="n">
        <v>79</v>
      </c>
      <c r="K63" s="5" t="n">
        <v>81</v>
      </c>
      <c r="L63" s="5" t="n">
        <v>51</v>
      </c>
      <c r="M63" s="5" t="n">
        <v>110</v>
      </c>
      <c r="N63" s="5">
        <f>SUM(H63:M63)</f>
        <v/>
      </c>
      <c r="O63" s="11">
        <f>RANK(H63,$H$5:$H$98)</f>
        <v/>
      </c>
      <c r="P63" s="11">
        <f>RANK(N63,$N$5:$N$98)</f>
        <v/>
      </c>
    </row>
    <row r="64" ht="26" customHeight="1">
      <c r="A64" s="5" t="inlineStr">
        <is>
          <t>045</t>
        </is>
      </c>
      <c r="B64" s="5" t="n"/>
      <c r="C64" s="21" t="inlineStr">
        <is>
          <t>Bonesky</t>
        </is>
      </c>
      <c r="D64" s="23" t="inlineStr">
        <is>
          <t>Glace</t>
        </is>
      </c>
      <c r="E64" s="15" t="inlineStr">
        <is>
          <t>DPS</t>
        </is>
      </c>
      <c r="F64" s="19" t="inlineStr">
        <is>
          <t>🔨 Artisanat (Artisanship)</t>
        </is>
      </c>
      <c r="G64" s="20" t="inlineStr">
        <is>
          <t>Lv.3</t>
        </is>
      </c>
      <c r="H64" s="5" t="n">
        <v>88</v>
      </c>
      <c r="I64" s="5" t="n">
        <v>71</v>
      </c>
      <c r="J64" s="5" t="n">
        <v>56</v>
      </c>
      <c r="K64" s="5" t="n">
        <v>57</v>
      </c>
      <c r="L64" s="5" t="n">
        <v>38</v>
      </c>
      <c r="M64" s="5" t="n">
        <v>67</v>
      </c>
      <c r="N64" s="5">
        <f>SUM(H64:M64)</f>
        <v/>
      </c>
      <c r="O64" s="11">
        <f>RANK(H64,$H$5:$H$98)</f>
        <v/>
      </c>
      <c r="P64" s="11">
        <f>RANK(N64,$N$5:$N$98)</f>
        <v/>
      </c>
    </row>
    <row r="65" ht="26" customHeight="1">
      <c r="A65" s="5" t="inlineStr">
        <is>
          <t>001</t>
        </is>
      </c>
      <c r="B65" s="5" t="n"/>
      <c r="C65" s="21" t="inlineStr">
        <is>
          <t>Emberpup</t>
        </is>
      </c>
      <c r="D65" s="31" t="inlineStr">
        <is>
          <t>Feu</t>
        </is>
      </c>
      <c r="E65" s="15" t="inlineStr">
        <is>
          <t>DPS</t>
        </is>
      </c>
      <c r="F65" s="9" t="inlineStr">
        <is>
          <t>📦 Portage (Carry)</t>
        </is>
      </c>
      <c r="G65" s="10" t="inlineStr">
        <is>
          <t>Lv.1</t>
        </is>
      </c>
      <c r="H65" s="5" t="n">
        <v>86</v>
      </c>
      <c r="I65" s="5" t="n">
        <v>67</v>
      </c>
      <c r="J65" s="5" t="n">
        <v>60</v>
      </c>
      <c r="K65" s="5" t="n">
        <v>53</v>
      </c>
      <c r="L65" s="5" t="n">
        <v>38</v>
      </c>
      <c r="M65" s="5" t="n">
        <v>67</v>
      </c>
      <c r="N65" s="5">
        <f>SUM(H65:M65)</f>
        <v/>
      </c>
      <c r="O65" s="11">
        <f>RANK(H65,$H$5:$H$98)</f>
        <v/>
      </c>
      <c r="P65" s="11">
        <f>RANK(N65,$N$5:$N$98)</f>
        <v/>
      </c>
    </row>
    <row r="66" ht="26" customHeight="1">
      <c r="A66" s="5" t="inlineStr">
        <is>
          <t>067</t>
        </is>
      </c>
      <c r="B66" s="5" t="n"/>
      <c r="C66" s="21" t="inlineStr">
        <is>
          <t>Helgon</t>
        </is>
      </c>
      <c r="D66" s="7" t="inlineStr">
        <is>
          <t>Vent</t>
        </is>
      </c>
      <c r="E66" s="35" t="inlineStr">
        <is>
          <t>BREAK</t>
        </is>
      </c>
      <c r="F66" s="9" t="inlineStr">
        <is>
          <t>📦 Portage (Carry)</t>
        </is>
      </c>
      <c r="G66" s="10" t="inlineStr">
        <is>
          <t>Lv.1</t>
        </is>
      </c>
      <c r="H66" s="5" t="n">
        <v>85</v>
      </c>
      <c r="I66" s="5" t="n">
        <v>105</v>
      </c>
      <c r="J66" s="5" t="n">
        <v>111</v>
      </c>
      <c r="K66" s="5" t="n">
        <v>68</v>
      </c>
      <c r="L66" s="5" t="n">
        <v>102</v>
      </c>
      <c r="M66" s="5" t="n">
        <v>84</v>
      </c>
      <c r="N66" s="5">
        <f>SUM(H66:M66)</f>
        <v/>
      </c>
      <c r="O66" s="11">
        <f>RANK(H66,$H$5:$H$98)</f>
        <v/>
      </c>
      <c r="P66" s="11">
        <f>RANK(N66,$N$5:$N$98)</f>
        <v/>
      </c>
    </row>
    <row r="67" ht="26" customHeight="1">
      <c r="A67" s="5" t="inlineStr">
        <is>
          <t>053</t>
        </is>
      </c>
      <c r="B67" s="5" t="n"/>
      <c r="C67" s="21" t="inlineStr">
        <is>
          <t>Panpanta</t>
        </is>
      </c>
      <c r="D67" s="26" t="inlineStr">
        <is>
          <t>Eau</t>
        </is>
      </c>
      <c r="E67" s="35" t="inlineStr">
        <is>
          <t>BREAK</t>
        </is>
      </c>
      <c r="F67" s="24" t="inlineStr">
        <is>
          <t>🪁 Loisir (Leisure)</t>
        </is>
      </c>
      <c r="G67" s="25" t="inlineStr">
        <is>
          <t>Lv.4</t>
        </is>
      </c>
      <c r="H67" s="5" t="n">
        <v>85</v>
      </c>
      <c r="I67" s="5" t="n">
        <v>104</v>
      </c>
      <c r="J67" s="5" t="n">
        <v>70</v>
      </c>
      <c r="K67" s="5" t="n">
        <v>106</v>
      </c>
      <c r="L67" s="5" t="n">
        <v>100</v>
      </c>
      <c r="M67" s="5" t="n">
        <v>80</v>
      </c>
      <c r="N67" s="5">
        <f>SUM(H67:M67)</f>
        <v/>
      </c>
      <c r="O67" s="11">
        <f>RANK(H67,$H$5:$H$98)</f>
        <v/>
      </c>
      <c r="P67" s="11">
        <f>RANK(N67,$N$5:$N$98)</f>
        <v/>
      </c>
    </row>
    <row r="68" ht="26" customHeight="1">
      <c r="A68" s="5" t="inlineStr">
        <is>
          <t>039</t>
        </is>
      </c>
      <c r="B68" s="5" t="n"/>
      <c r="C68" s="21" t="inlineStr">
        <is>
          <t>Pomawk</t>
        </is>
      </c>
      <c r="D68" s="27" t="inlineStr">
        <is>
          <t>Plante</t>
        </is>
      </c>
      <c r="E68" s="35" t="inlineStr">
        <is>
          <t>BREAK</t>
        </is>
      </c>
      <c r="F68" s="9" t="inlineStr">
        <is>
          <t>📦 Portage (Carry)</t>
        </is>
      </c>
      <c r="G68" s="10" t="inlineStr">
        <is>
          <t>Lv.1</t>
        </is>
      </c>
      <c r="H68" s="5" t="n">
        <v>85</v>
      </c>
      <c r="I68" s="5" t="n">
        <v>87</v>
      </c>
      <c r="J68" s="5" t="n">
        <v>80</v>
      </c>
      <c r="K68" s="5" t="n">
        <v>76</v>
      </c>
      <c r="L68" s="5" t="n">
        <v>107</v>
      </c>
      <c r="M68" s="5" t="n">
        <v>100</v>
      </c>
      <c r="N68" s="5">
        <f>SUM(H68:M68)</f>
        <v/>
      </c>
      <c r="O68" s="11">
        <f>RANK(H68,$H$5:$H$98)</f>
        <v/>
      </c>
      <c r="P68" s="11">
        <f>RANK(N68,$N$5:$N$98)</f>
        <v/>
      </c>
    </row>
    <row r="69" ht="26" customHeight="1">
      <c r="A69" s="5" t="inlineStr">
        <is>
          <t>088</t>
        </is>
      </c>
      <c r="B69" s="5" t="n"/>
      <c r="C69" s="21" t="inlineStr">
        <is>
          <t>Bubbeep</t>
        </is>
      </c>
      <c r="D69" s="27" t="inlineStr">
        <is>
          <t>Plante, Eau</t>
        </is>
      </c>
      <c r="E69" s="34" t="inlineStr">
        <is>
          <t>HEAL</t>
        </is>
      </c>
      <c r="F69" s="28" t="inlineStr">
        <is>
          <t>—  n.c.</t>
        </is>
      </c>
      <c r="G69" s="29" t="inlineStr">
        <is>
          <t>—</t>
        </is>
      </c>
      <c r="H69" s="5" t="n">
        <v>85</v>
      </c>
      <c r="I69" s="5" t="n">
        <v>104</v>
      </c>
      <c r="J69" s="5" t="n">
        <v>78</v>
      </c>
      <c r="K69" s="5" t="n">
        <v>75</v>
      </c>
      <c r="L69" s="5" t="n">
        <v>43</v>
      </c>
      <c r="M69" s="5" t="n">
        <v>82</v>
      </c>
      <c r="N69" s="5">
        <f>SUM(H69:M69)</f>
        <v/>
      </c>
      <c r="O69" s="11">
        <f>RANK(H69,$H$5:$H$98)</f>
        <v/>
      </c>
      <c r="P69" s="11">
        <f>RANK(N69,$N$5:$N$98)</f>
        <v/>
      </c>
    </row>
    <row r="70" ht="26" customHeight="1">
      <c r="A70" s="5" t="inlineStr">
        <is>
          <t>048</t>
        </is>
      </c>
      <c r="B70" s="5" t="n"/>
      <c r="C70" s="21" t="inlineStr">
        <is>
          <t>Bolty</t>
        </is>
      </c>
      <c r="D70" s="14" t="inlineStr">
        <is>
          <t>Foudre</t>
        </is>
      </c>
      <c r="E70" s="35" t="inlineStr">
        <is>
          <t>BREAK</t>
        </is>
      </c>
      <c r="F70" s="19" t="inlineStr">
        <is>
          <t>🔨 Artisanat (Artisanship)</t>
        </is>
      </c>
      <c r="G70" s="20" t="inlineStr">
        <is>
          <t>Lv.3</t>
        </is>
      </c>
      <c r="H70" s="5" t="n">
        <v>85</v>
      </c>
      <c r="I70" s="5" t="n">
        <v>85</v>
      </c>
      <c r="J70" s="5" t="n">
        <v>60</v>
      </c>
      <c r="K70" s="5" t="n">
        <v>60</v>
      </c>
      <c r="L70" s="5" t="n">
        <v>87</v>
      </c>
      <c r="M70" s="5" t="n">
        <v>73</v>
      </c>
      <c r="N70" s="5">
        <f>SUM(H70:M70)</f>
        <v/>
      </c>
      <c r="O70" s="11">
        <f>RANK(H70,$H$5:$H$98)</f>
        <v/>
      </c>
      <c r="P70" s="11">
        <f>RANK(N70,$N$5:$N$98)</f>
        <v/>
      </c>
    </row>
    <row r="71" ht="26" customHeight="1">
      <c r="A71" s="5" t="inlineStr">
        <is>
          <t>072</t>
        </is>
      </c>
      <c r="B71" s="5" t="n"/>
      <c r="C71" s="21" t="inlineStr">
        <is>
          <t>Lavazar</t>
        </is>
      </c>
      <c r="D71" s="31" t="inlineStr">
        <is>
          <t>Feu, Roche</t>
        </is>
      </c>
      <c r="E71" s="35" t="inlineStr">
        <is>
          <t>BREAK</t>
        </is>
      </c>
      <c r="F71" s="9" t="inlineStr">
        <is>
          <t>📦 Portage (Carry)</t>
        </is>
      </c>
      <c r="G71" s="10" t="inlineStr">
        <is>
          <t>Lv.1</t>
        </is>
      </c>
      <c r="H71" s="5" t="n">
        <v>82</v>
      </c>
      <c r="I71" s="5" t="n">
        <v>99</v>
      </c>
      <c r="J71" s="5" t="n">
        <v>63</v>
      </c>
      <c r="K71" s="5" t="n">
        <v>89</v>
      </c>
      <c r="L71" s="5" t="n">
        <v>93</v>
      </c>
      <c r="M71" s="5" t="n">
        <v>68</v>
      </c>
      <c r="N71" s="5">
        <f>SUM(H71:M71)</f>
        <v/>
      </c>
      <c r="O71" s="11">
        <f>RANK(H71,$H$5:$H$98)</f>
        <v/>
      </c>
      <c r="P71" s="11">
        <f>RANK(N71,$N$5:$N$98)</f>
        <v/>
      </c>
    </row>
    <row r="72" ht="26" customHeight="1">
      <c r="A72" s="5" t="inlineStr">
        <is>
          <t>074</t>
        </is>
      </c>
      <c r="B72" s="5" t="n"/>
      <c r="C72" s="21" t="inlineStr">
        <is>
          <t>Geodeback</t>
        </is>
      </c>
      <c r="D72" s="22" t="inlineStr">
        <is>
          <t>Roche</t>
        </is>
      </c>
      <c r="E72" s="35" t="inlineStr">
        <is>
          <t>BREAK</t>
        </is>
      </c>
      <c r="F72" s="9" t="inlineStr">
        <is>
          <t>📦 Portage (Carry)</t>
        </is>
      </c>
      <c r="G72" s="10" t="inlineStr">
        <is>
          <t>Lv.1</t>
        </is>
      </c>
      <c r="H72" s="5" t="n">
        <v>81</v>
      </c>
      <c r="I72" s="5" t="n">
        <v>99</v>
      </c>
      <c r="J72" s="5" t="n">
        <v>89</v>
      </c>
      <c r="K72" s="5" t="n">
        <v>54</v>
      </c>
      <c r="L72" s="5" t="n">
        <v>102</v>
      </c>
      <c r="M72" s="5" t="n">
        <v>70</v>
      </c>
      <c r="N72" s="5">
        <f>SUM(H72:M72)</f>
        <v/>
      </c>
      <c r="O72" s="11">
        <f>RANK(H72,$H$5:$H$98)</f>
        <v/>
      </c>
      <c r="P72" s="11">
        <f>RANK(N72,$N$5:$N$98)</f>
        <v/>
      </c>
    </row>
    <row r="73" ht="26" customHeight="1">
      <c r="A73" s="5" t="inlineStr">
        <is>
          <t>079</t>
        </is>
      </c>
      <c r="B73" s="5" t="n"/>
      <c r="C73" s="21" t="inlineStr">
        <is>
          <t>Veilfloat</t>
        </is>
      </c>
      <c r="D73" s="14" t="inlineStr">
        <is>
          <t>Foudre</t>
        </is>
      </c>
      <c r="E73" s="8" t="inlineStr">
        <is>
          <t>SUPPORT</t>
        </is>
      </c>
      <c r="F73" s="19" t="inlineStr">
        <is>
          <t>🔨 Artisanat (Artisanship)</t>
        </is>
      </c>
      <c r="G73" s="20" t="inlineStr">
        <is>
          <t>Lv.3</t>
        </is>
      </c>
      <c r="H73" s="5" t="n">
        <v>81</v>
      </c>
      <c r="I73" s="5" t="n">
        <v>99</v>
      </c>
      <c r="J73" s="5" t="n">
        <v>77</v>
      </c>
      <c r="K73" s="5" t="n">
        <v>77</v>
      </c>
      <c r="L73" s="5" t="n">
        <v>45</v>
      </c>
      <c r="M73" s="5" t="n">
        <v>107</v>
      </c>
      <c r="N73" s="5">
        <f>SUM(H73:M73)</f>
        <v/>
      </c>
      <c r="O73" s="11">
        <f>RANK(H73,$H$5:$H$98)</f>
        <v/>
      </c>
      <c r="P73" s="11">
        <f>RANK(N73,$N$5:$N$98)</f>
        <v/>
      </c>
    </row>
    <row r="74" ht="26" customHeight="1">
      <c r="A74" s="5" t="inlineStr">
        <is>
          <t>015</t>
        </is>
      </c>
      <c r="B74" s="5" t="n"/>
      <c r="C74" s="21" t="inlineStr">
        <is>
          <t>Pranky</t>
        </is>
      </c>
      <c r="D74" s="26" t="inlineStr">
        <is>
          <t>Eau</t>
        </is>
      </c>
      <c r="E74" s="34" t="inlineStr">
        <is>
          <t>HEAL</t>
        </is>
      </c>
      <c r="F74" s="9" t="inlineStr">
        <is>
          <t>📦 Portage (Carry)</t>
        </is>
      </c>
      <c r="G74" s="10" t="inlineStr">
        <is>
          <t>Lv.1</t>
        </is>
      </c>
      <c r="H74" s="5" t="n">
        <v>81</v>
      </c>
      <c r="I74" s="5" t="n">
        <v>106</v>
      </c>
      <c r="J74" s="5" t="n">
        <v>65</v>
      </c>
      <c r="K74" s="5" t="n">
        <v>99</v>
      </c>
      <c r="L74" s="5" t="n">
        <v>45</v>
      </c>
      <c r="M74" s="5" t="n">
        <v>72</v>
      </c>
      <c r="N74" s="5">
        <f>SUM(H74:M74)</f>
        <v/>
      </c>
      <c r="O74" s="11">
        <f>RANK(H74,$H$5:$H$98)</f>
        <v/>
      </c>
      <c r="P74" s="11">
        <f>RANK(N74,$N$5:$N$98)</f>
        <v/>
      </c>
    </row>
    <row r="75" ht="26" customHeight="1">
      <c r="A75" s="5" t="inlineStr">
        <is>
          <t>029</t>
        </is>
      </c>
      <c r="B75" s="5" t="n"/>
      <c r="C75" s="21" t="inlineStr">
        <is>
          <t>Flutternym</t>
        </is>
      </c>
      <c r="D75" s="7" t="inlineStr">
        <is>
          <t>Vent</t>
        </is>
      </c>
      <c r="E75" s="34" t="inlineStr">
        <is>
          <t>HEAL</t>
        </is>
      </c>
      <c r="F75" s="24" t="inlineStr">
        <is>
          <t>🪁 Loisir (Leisure)</t>
        </is>
      </c>
      <c r="G75" s="25" t="inlineStr">
        <is>
          <t>Lv.4</t>
        </is>
      </c>
      <c r="H75" s="5" t="n">
        <v>81</v>
      </c>
      <c r="I75" s="5" t="n">
        <v>94</v>
      </c>
      <c r="J75" s="5" t="n">
        <v>68</v>
      </c>
      <c r="K75" s="5" t="n">
        <v>68</v>
      </c>
      <c r="L75" s="5" t="n">
        <v>41</v>
      </c>
      <c r="M75" s="5" t="n">
        <v>85</v>
      </c>
      <c r="N75" s="5">
        <f>SUM(H75:M75)</f>
        <v/>
      </c>
      <c r="O75" s="11">
        <f>RANK(H75,$H$5:$H$98)</f>
        <v/>
      </c>
      <c r="P75" s="11">
        <f>RANK(N75,$N$5:$N$98)</f>
        <v/>
      </c>
    </row>
    <row r="76" ht="26" customHeight="1">
      <c r="A76" s="5" t="inlineStr">
        <is>
          <t>023</t>
        </is>
      </c>
      <c r="B76" s="5" t="n"/>
      <c r="C76" s="21" t="inlineStr">
        <is>
          <t>Tuckin</t>
        </is>
      </c>
      <c r="D76" s="27" t="inlineStr">
        <is>
          <t>Plante</t>
        </is>
      </c>
      <c r="E76" s="35" t="inlineStr">
        <is>
          <t>BREAK</t>
        </is>
      </c>
      <c r="F76" s="19" t="inlineStr">
        <is>
          <t>🔨 Artisanat (Artisanship)</t>
        </is>
      </c>
      <c r="G76" s="20" t="inlineStr">
        <is>
          <t>Lv.3</t>
        </is>
      </c>
      <c r="H76" s="5" t="n">
        <v>80</v>
      </c>
      <c r="I76" s="5" t="n">
        <v>106</v>
      </c>
      <c r="J76" s="5" t="n">
        <v>83</v>
      </c>
      <c r="K76" s="5" t="n">
        <v>110</v>
      </c>
      <c r="L76" s="5" t="n">
        <v>100</v>
      </c>
      <c r="M76" s="5" t="n">
        <v>71</v>
      </c>
      <c r="N76" s="5">
        <f>SUM(H76:M76)</f>
        <v/>
      </c>
      <c r="O76" s="11">
        <f>RANK(H76,$H$5:$H$98)</f>
        <v/>
      </c>
      <c r="P76" s="11">
        <f>RANK(N76,$N$5:$N$98)</f>
        <v/>
      </c>
    </row>
    <row r="77" ht="26" customHeight="1">
      <c r="A77" s="5" t="inlineStr">
        <is>
          <t>026</t>
        </is>
      </c>
      <c r="B77" s="5" t="n"/>
      <c r="C77" s="21" t="inlineStr">
        <is>
          <t>Geoclaw</t>
        </is>
      </c>
      <c r="D77" s="23" t="inlineStr">
        <is>
          <t>Glace</t>
        </is>
      </c>
      <c r="E77" s="35" t="inlineStr">
        <is>
          <t>BREAK</t>
        </is>
      </c>
      <c r="F77" s="9" t="inlineStr">
        <is>
          <t>📦 Portage (Carry)</t>
        </is>
      </c>
      <c r="G77" s="10" t="inlineStr">
        <is>
          <t>Lv.1</t>
        </is>
      </c>
      <c r="H77" s="5" t="n">
        <v>80</v>
      </c>
      <c r="I77" s="5" t="n">
        <v>93</v>
      </c>
      <c r="J77" s="5" t="n">
        <v>113</v>
      </c>
      <c r="K77" s="5" t="n">
        <v>79</v>
      </c>
      <c r="L77" s="5" t="n">
        <v>103</v>
      </c>
      <c r="M77" s="5" t="n">
        <v>82</v>
      </c>
      <c r="N77" s="5">
        <f>SUM(H77:M77)</f>
        <v/>
      </c>
      <c r="O77" s="11">
        <f>RANK(H77,$H$5:$H$98)</f>
        <v/>
      </c>
      <c r="P77" s="11">
        <f>RANK(N77,$N$5:$N$98)</f>
        <v/>
      </c>
    </row>
    <row r="78" ht="26" customHeight="1">
      <c r="A78" s="5" t="inlineStr">
        <is>
          <t>022</t>
        </is>
      </c>
      <c r="B78" s="5" t="n"/>
      <c r="C78" s="21" t="inlineStr">
        <is>
          <t>Witchin</t>
        </is>
      </c>
      <c r="D78" s="18" t="inlineStr">
        <is>
          <t>Ténèbres, Plante</t>
        </is>
      </c>
      <c r="E78" s="32" t="inlineStr">
        <is>
          <t>REGEN</t>
        </is>
      </c>
      <c r="F78" s="19" t="inlineStr">
        <is>
          <t>🔨 Artisanat (Artisanship)</t>
        </is>
      </c>
      <c r="G78" s="20" t="inlineStr">
        <is>
          <t>Lv.3</t>
        </is>
      </c>
      <c r="H78" s="5" t="n">
        <v>80</v>
      </c>
      <c r="I78" s="5" t="n">
        <v>115</v>
      </c>
      <c r="J78" s="5" t="n">
        <v>80</v>
      </c>
      <c r="K78" s="5" t="n">
        <v>90</v>
      </c>
      <c r="L78" s="5" t="n">
        <v>50</v>
      </c>
      <c r="M78" s="5" t="n">
        <v>115</v>
      </c>
      <c r="N78" s="5">
        <f>SUM(H78:M78)</f>
        <v/>
      </c>
      <c r="O78" s="11">
        <f>RANK(H78,$H$5:$H$98)</f>
        <v/>
      </c>
      <c r="P78" s="11">
        <f>RANK(N78,$N$5:$N$98)</f>
        <v/>
      </c>
    </row>
    <row r="79" ht="26" customHeight="1">
      <c r="A79" s="5" t="inlineStr">
        <is>
          <t>085</t>
        </is>
      </c>
      <c r="B79" s="5" t="n"/>
      <c r="C79" s="21" t="inlineStr">
        <is>
          <t>Coraliz</t>
        </is>
      </c>
      <c r="D79" s="22" t="inlineStr">
        <is>
          <t>Roche, Eau</t>
        </is>
      </c>
      <c r="E79" s="32" t="inlineStr">
        <is>
          <t>REGEN</t>
        </is>
      </c>
      <c r="F79" s="9" t="inlineStr">
        <is>
          <t>📦 Portage (Carry)</t>
        </is>
      </c>
      <c r="G79" s="10" t="inlineStr">
        <is>
          <t>Lv.1</t>
        </is>
      </c>
      <c r="H79" s="5" t="n">
        <v>78</v>
      </c>
      <c r="I79" s="5" t="n">
        <v>98</v>
      </c>
      <c r="J79" s="5" t="n">
        <v>88</v>
      </c>
      <c r="K79" s="5" t="n">
        <v>93</v>
      </c>
      <c r="L79" s="5" t="n">
        <v>107</v>
      </c>
      <c r="M79" s="5" t="n">
        <v>108</v>
      </c>
      <c r="N79" s="5">
        <f>SUM(H79:M79)</f>
        <v/>
      </c>
      <c r="O79" s="11">
        <f>RANK(H79,$H$5:$H$98)</f>
        <v/>
      </c>
      <c r="P79" s="11">
        <f>RANK(N79,$N$5:$N$98)</f>
        <v/>
      </c>
    </row>
    <row r="80" ht="26" customHeight="1">
      <c r="A80" s="5" t="inlineStr">
        <is>
          <t>076</t>
        </is>
      </c>
      <c r="B80" s="5" t="n"/>
      <c r="C80" s="21" t="inlineStr">
        <is>
          <t>Cozite</t>
        </is>
      </c>
      <c r="D80" s="22" t="inlineStr">
        <is>
          <t>Roche</t>
        </is>
      </c>
      <c r="E80" s="8" t="inlineStr">
        <is>
          <t>SUPPORT</t>
        </is>
      </c>
      <c r="F80" s="9" t="inlineStr">
        <is>
          <t>📦 Portage (Carry)</t>
        </is>
      </c>
      <c r="G80" s="10" t="inlineStr">
        <is>
          <t>Lv.1</t>
        </is>
      </c>
      <c r="H80" s="5" t="n">
        <v>77</v>
      </c>
      <c r="I80" s="5" t="n">
        <v>77</v>
      </c>
      <c r="J80" s="5" t="n">
        <v>67</v>
      </c>
      <c r="K80" s="5" t="n">
        <v>67</v>
      </c>
      <c r="L80" s="5" t="n">
        <v>50</v>
      </c>
      <c r="M80" s="5" t="n">
        <v>100</v>
      </c>
      <c r="N80" s="5">
        <f>SUM(H80:M80)</f>
        <v/>
      </c>
      <c r="O80" s="11">
        <f>RANK(H80,$H$5:$H$98)</f>
        <v/>
      </c>
      <c r="P80" s="11">
        <f>RANK(N80,$N$5:$N$98)</f>
        <v/>
      </c>
    </row>
    <row r="81" ht="26" customHeight="1">
      <c r="A81" s="5" t="inlineStr">
        <is>
          <t>066</t>
        </is>
      </c>
      <c r="B81" s="5" t="n"/>
      <c r="C81" s="21" t="inlineStr">
        <is>
          <t>Helmwhelp</t>
        </is>
      </c>
      <c r="D81" s="7" t="inlineStr">
        <is>
          <t>Vent</t>
        </is>
      </c>
      <c r="E81" s="35" t="inlineStr">
        <is>
          <t>BREAK</t>
        </is>
      </c>
      <c r="F81" s="9" t="inlineStr">
        <is>
          <t>📦 Portage (Carry)</t>
        </is>
      </c>
      <c r="G81" s="10" t="inlineStr">
        <is>
          <t>Lv.1</t>
        </is>
      </c>
      <c r="H81" s="5" t="n">
        <v>76</v>
      </c>
      <c r="I81" s="5" t="n">
        <v>95</v>
      </c>
      <c r="J81" s="5" t="n">
        <v>100</v>
      </c>
      <c r="K81" s="5" t="n">
        <v>61</v>
      </c>
      <c r="L81" s="5" t="n">
        <v>92</v>
      </c>
      <c r="M81" s="5" t="n">
        <v>76</v>
      </c>
      <c r="N81" s="5">
        <f>SUM(H81:M81)</f>
        <v/>
      </c>
      <c r="O81" s="11">
        <f>RANK(H81,$H$5:$H$98)</f>
        <v/>
      </c>
      <c r="P81" s="11">
        <f>RANK(N81,$N$5:$N$98)</f>
        <v/>
      </c>
    </row>
    <row r="82" ht="26" customHeight="1">
      <c r="A82" s="5" t="inlineStr">
        <is>
          <t>081</t>
        </is>
      </c>
      <c r="B82" s="5" t="n"/>
      <c r="C82" s="21" t="inlineStr">
        <is>
          <t>Fahloo</t>
        </is>
      </c>
      <c r="D82" s="26" t="inlineStr">
        <is>
          <t>Eau</t>
        </is>
      </c>
      <c r="E82" s="32" t="inlineStr">
        <is>
          <t>REGEN</t>
        </is>
      </c>
      <c r="F82" s="28" t="inlineStr">
        <is>
          <t>—  n.c.</t>
        </is>
      </c>
      <c r="G82" s="29" t="inlineStr">
        <is>
          <t>—</t>
        </is>
      </c>
      <c r="H82" s="5" t="n">
        <v>76</v>
      </c>
      <c r="I82" s="5" t="n">
        <v>102</v>
      </c>
      <c r="J82" s="5" t="n">
        <v>68</v>
      </c>
      <c r="K82" s="5" t="n">
        <v>76</v>
      </c>
      <c r="L82" s="5" t="n">
        <v>44</v>
      </c>
      <c r="M82" s="5" t="n">
        <v>93</v>
      </c>
      <c r="N82" s="5">
        <f>SUM(H82:M82)</f>
        <v/>
      </c>
      <c r="O82" s="11">
        <f>RANK(H82,$H$5:$H$98)</f>
        <v/>
      </c>
      <c r="P82" s="11">
        <f>RANK(N82,$N$5:$N$98)</f>
        <v/>
      </c>
    </row>
    <row r="83" ht="26" customHeight="1">
      <c r="A83" s="5" t="inlineStr">
        <is>
          <t>018</t>
        </is>
      </c>
      <c r="B83" s="5" t="n"/>
      <c r="C83" s="21" t="inlineStr">
        <is>
          <t>Nimbi</t>
        </is>
      </c>
      <c r="D83" s="7" t="inlineStr">
        <is>
          <t>Vent</t>
        </is>
      </c>
      <c r="E83" s="8" t="inlineStr">
        <is>
          <t>SUPPORT</t>
        </is>
      </c>
      <c r="F83" s="24" t="inlineStr">
        <is>
          <t>🪁 Loisir (Leisure)</t>
        </is>
      </c>
      <c r="G83" s="25" t="inlineStr">
        <is>
          <t>Lv.4</t>
        </is>
      </c>
      <c r="H83" s="5" t="n">
        <v>76</v>
      </c>
      <c r="I83" s="5" t="n">
        <v>80</v>
      </c>
      <c r="J83" s="5" t="n">
        <v>68</v>
      </c>
      <c r="K83" s="5" t="n">
        <v>82</v>
      </c>
      <c r="L83" s="5" t="n">
        <v>43</v>
      </c>
      <c r="M83" s="5" t="n">
        <v>93</v>
      </c>
      <c r="N83" s="5">
        <f>SUM(H83:M83)</f>
        <v/>
      </c>
      <c r="O83" s="11">
        <f>RANK(H83,$H$5:$H$98)</f>
        <v/>
      </c>
      <c r="P83" s="11">
        <f>RANK(N83,$N$5:$N$98)</f>
        <v/>
      </c>
    </row>
    <row r="84" ht="26" customHeight="1">
      <c r="A84" s="5" t="inlineStr">
        <is>
          <t>087</t>
        </is>
      </c>
      <c r="B84" s="5" t="n"/>
      <c r="C84" s="21" t="inlineStr">
        <is>
          <t>Wavwal</t>
        </is>
      </c>
      <c r="D84" s="23" t="inlineStr">
        <is>
          <t>Glace</t>
        </is>
      </c>
      <c r="E84" s="35" t="inlineStr">
        <is>
          <t>BREAK</t>
        </is>
      </c>
      <c r="F84" s="9" t="inlineStr">
        <is>
          <t>📦 Portage (Carry)</t>
        </is>
      </c>
      <c r="G84" s="10" t="inlineStr">
        <is>
          <t>Lv.1</t>
        </is>
      </c>
      <c r="H84" s="5" t="n">
        <v>75</v>
      </c>
      <c r="I84" s="5" t="n">
        <v>105</v>
      </c>
      <c r="J84" s="5" t="n">
        <v>89</v>
      </c>
      <c r="K84" s="5" t="n">
        <v>93</v>
      </c>
      <c r="L84" s="5" t="n">
        <v>110</v>
      </c>
      <c r="M84" s="5" t="n">
        <v>103</v>
      </c>
      <c r="N84" s="5">
        <f>SUM(H84:M84)</f>
        <v/>
      </c>
      <c r="O84" s="11">
        <f>RANK(H84,$H$5:$H$98)</f>
        <v/>
      </c>
      <c r="P84" s="11">
        <f>RANK(N84,$N$5:$N$98)</f>
        <v/>
      </c>
    </row>
    <row r="85" ht="26" customHeight="1">
      <c r="A85" s="5" t="inlineStr">
        <is>
          <t>010</t>
        </is>
      </c>
      <c r="B85" s="5" t="n"/>
      <c r="C85" s="21" t="inlineStr">
        <is>
          <t>Tubster</t>
        </is>
      </c>
      <c r="D85" s="7" t="inlineStr">
        <is>
          <t>Vent</t>
        </is>
      </c>
      <c r="E85" s="35" t="inlineStr">
        <is>
          <t>BREAK</t>
        </is>
      </c>
      <c r="F85" s="28" t="inlineStr">
        <is>
          <t>—  n.c.</t>
        </is>
      </c>
      <c r="G85" s="29" t="inlineStr">
        <is>
          <t>—</t>
        </is>
      </c>
      <c r="H85" s="5" t="n">
        <v>75</v>
      </c>
      <c r="I85" s="5" t="n">
        <v>108</v>
      </c>
      <c r="J85" s="5" t="n">
        <v>61</v>
      </c>
      <c r="K85" s="5" t="n">
        <v>110</v>
      </c>
      <c r="L85" s="5" t="n">
        <v>101</v>
      </c>
      <c r="M85" s="5" t="n">
        <v>80</v>
      </c>
      <c r="N85" s="5">
        <f>SUM(H85:M85)</f>
        <v/>
      </c>
      <c r="O85" s="11">
        <f>RANK(H85,$H$5:$H$98)</f>
        <v/>
      </c>
      <c r="P85" s="11">
        <f>RANK(N85,$N$5:$N$98)</f>
        <v/>
      </c>
    </row>
    <row r="86" ht="26" customHeight="1">
      <c r="A86" s="5" t="inlineStr">
        <is>
          <t>025</t>
        </is>
      </c>
      <c r="B86" s="5" t="n"/>
      <c r="C86" s="21" t="inlineStr">
        <is>
          <t>Shrubclaw</t>
        </is>
      </c>
      <c r="D86" s="22" t="inlineStr">
        <is>
          <t>Roche, Plante</t>
        </is>
      </c>
      <c r="E86" s="35" t="inlineStr">
        <is>
          <t>BREAK</t>
        </is>
      </c>
      <c r="F86" s="9" t="inlineStr">
        <is>
          <t>📦 Portage (Carry)</t>
        </is>
      </c>
      <c r="G86" s="10" t="inlineStr">
        <is>
          <t>Lv.1</t>
        </is>
      </c>
      <c r="H86" s="5" t="n">
        <v>75</v>
      </c>
      <c r="I86" s="5" t="n">
        <v>90</v>
      </c>
      <c r="J86" s="5" t="n">
        <v>109</v>
      </c>
      <c r="K86" s="5" t="n">
        <v>77</v>
      </c>
      <c r="L86" s="5" t="n">
        <v>99</v>
      </c>
      <c r="M86" s="5" t="n">
        <v>85</v>
      </c>
      <c r="N86" s="5">
        <f>SUM(H86:M86)</f>
        <v/>
      </c>
      <c r="O86" s="11">
        <f>RANK(H86,$H$5:$H$98)</f>
        <v/>
      </c>
      <c r="P86" s="11">
        <f>RANK(N86,$N$5:$N$98)</f>
        <v/>
      </c>
    </row>
    <row r="87" ht="26" customHeight="1">
      <c r="A87" s="5" t="inlineStr">
        <is>
          <t>007</t>
        </is>
      </c>
      <c r="B87" s="5" t="n"/>
      <c r="C87" s="21" t="inlineStr">
        <is>
          <t>Chirpi</t>
        </is>
      </c>
      <c r="D87" s="7" t="inlineStr">
        <is>
          <t>Vent</t>
        </is>
      </c>
      <c r="E87" s="8" t="inlineStr">
        <is>
          <t>SUPPORT</t>
        </is>
      </c>
      <c r="F87" s="28" t="inlineStr">
        <is>
          <t>—  n.c.</t>
        </is>
      </c>
      <c r="G87" s="29" t="inlineStr">
        <is>
          <t>—</t>
        </is>
      </c>
      <c r="H87" s="5" t="n">
        <v>75</v>
      </c>
      <c r="I87" s="5" t="n">
        <v>96</v>
      </c>
      <c r="J87" s="5" t="n">
        <v>67</v>
      </c>
      <c r="K87" s="5" t="n">
        <v>69</v>
      </c>
      <c r="L87" s="5" t="n">
        <v>43</v>
      </c>
      <c r="M87" s="5" t="n">
        <v>93</v>
      </c>
      <c r="N87" s="5">
        <f>SUM(H87:M87)</f>
        <v/>
      </c>
      <c r="O87" s="11">
        <f>RANK(H87,$H$5:$H$98)</f>
        <v/>
      </c>
      <c r="P87" s="11">
        <f>RANK(N87,$N$5:$N$98)</f>
        <v/>
      </c>
    </row>
    <row r="88" ht="26" customHeight="1">
      <c r="A88" s="5" t="inlineStr">
        <is>
          <t>037</t>
        </is>
      </c>
      <c r="B88" s="5" t="n"/>
      <c r="C88" s="21" t="inlineStr">
        <is>
          <t>Pomegg</t>
        </is>
      </c>
      <c r="D88" s="27" t="inlineStr">
        <is>
          <t>Plante</t>
        </is>
      </c>
      <c r="E88" s="35" t="inlineStr">
        <is>
          <t>BREAK</t>
        </is>
      </c>
      <c r="F88" s="9" t="inlineStr">
        <is>
          <t>📦 Portage (Carry)</t>
        </is>
      </c>
      <c r="G88" s="10" t="inlineStr">
        <is>
          <t>Lv.1</t>
        </is>
      </c>
      <c r="H88" s="5" t="n">
        <v>72</v>
      </c>
      <c r="I88" s="5" t="n">
        <v>74</v>
      </c>
      <c r="J88" s="5" t="n">
        <v>68</v>
      </c>
      <c r="K88" s="5" t="n">
        <v>65</v>
      </c>
      <c r="L88" s="5" t="n">
        <v>91</v>
      </c>
      <c r="M88" s="5" t="n">
        <v>85</v>
      </c>
      <c r="N88" s="5">
        <f>SUM(H88:M88)</f>
        <v/>
      </c>
      <c r="O88" s="11">
        <f>RANK(H88,$H$5:$H$98)</f>
        <v/>
      </c>
      <c r="P88" s="11">
        <f>RANK(N88,$N$5:$N$98)</f>
        <v/>
      </c>
    </row>
    <row r="89" ht="26" customHeight="1">
      <c r="A89" s="5" t="inlineStr">
        <is>
          <t>071</t>
        </is>
      </c>
      <c r="B89" s="5" t="n"/>
      <c r="C89" s="21" t="inlineStr">
        <is>
          <t>Pebbling</t>
        </is>
      </c>
      <c r="D89" s="22" t="inlineStr">
        <is>
          <t>Roche</t>
        </is>
      </c>
      <c r="E89" s="35" t="inlineStr">
        <is>
          <t>BREAK</t>
        </is>
      </c>
      <c r="F89" s="9" t="inlineStr">
        <is>
          <t>📦 Portage (Carry)</t>
        </is>
      </c>
      <c r="G89" s="10" t="inlineStr">
        <is>
          <t>Lv.1</t>
        </is>
      </c>
      <c r="H89" s="5" t="n">
        <v>68</v>
      </c>
      <c r="I89" s="5" t="n">
        <v>83</v>
      </c>
      <c r="J89" s="5" t="n">
        <v>52</v>
      </c>
      <c r="K89" s="5" t="n">
        <v>74</v>
      </c>
      <c r="L89" s="5" t="n">
        <v>79</v>
      </c>
      <c r="M89" s="5" t="n">
        <v>56</v>
      </c>
      <c r="N89" s="5">
        <f>SUM(H89:M89)</f>
        <v/>
      </c>
      <c r="O89" s="11">
        <f>RANK(H89,$H$5:$H$98)</f>
        <v/>
      </c>
      <c r="P89" s="11">
        <f>RANK(N89,$N$5:$N$98)</f>
        <v/>
      </c>
    </row>
    <row r="90" ht="26" customHeight="1">
      <c r="A90" s="5" t="inlineStr">
        <is>
          <t>078</t>
        </is>
      </c>
      <c r="B90" s="5" t="n"/>
      <c r="C90" s="21" t="inlineStr">
        <is>
          <t>Bulbly</t>
        </is>
      </c>
      <c r="D90" s="14" t="inlineStr">
        <is>
          <t>Foudre</t>
        </is>
      </c>
      <c r="E90" s="8" t="inlineStr">
        <is>
          <t>SUPPORT</t>
        </is>
      </c>
      <c r="F90" s="19" t="inlineStr">
        <is>
          <t>🔨 Artisanat (Artisanship)</t>
        </is>
      </c>
      <c r="G90" s="20" t="inlineStr">
        <is>
          <t>Lv.3</t>
        </is>
      </c>
      <c r="H90" s="5" t="n">
        <v>68</v>
      </c>
      <c r="I90" s="5" t="n">
        <v>83</v>
      </c>
      <c r="J90" s="5" t="n">
        <v>63</v>
      </c>
      <c r="K90" s="5" t="n">
        <v>63</v>
      </c>
      <c r="L90" s="5" t="n">
        <v>37</v>
      </c>
      <c r="M90" s="5" t="n">
        <v>90</v>
      </c>
      <c r="N90" s="5">
        <f>SUM(H90:M90)</f>
        <v/>
      </c>
      <c r="O90" s="11">
        <f>RANK(H90,$H$5:$H$98)</f>
        <v/>
      </c>
      <c r="P90" s="11">
        <f>RANK(N90,$N$5:$N$98)</f>
        <v/>
      </c>
    </row>
    <row r="91" ht="26" customHeight="1">
      <c r="A91" s="5" t="inlineStr">
        <is>
          <t>084</t>
        </is>
      </c>
      <c r="B91" s="5" t="n"/>
      <c r="C91" s="21" t="inlineStr">
        <is>
          <t>Reefish</t>
        </is>
      </c>
      <c r="D91" s="22" t="inlineStr">
        <is>
          <t>Roche, Eau</t>
        </is>
      </c>
      <c r="E91" s="32" t="inlineStr">
        <is>
          <t>REGEN</t>
        </is>
      </c>
      <c r="F91" s="28" t="inlineStr">
        <is>
          <t>—  n.c.</t>
        </is>
      </c>
      <c r="G91" s="29" t="inlineStr">
        <is>
          <t>—</t>
        </is>
      </c>
      <c r="H91" s="5" t="n">
        <v>66</v>
      </c>
      <c r="I91" s="5" t="n">
        <v>83</v>
      </c>
      <c r="J91" s="5" t="n">
        <v>75</v>
      </c>
      <c r="K91" s="5" t="n">
        <v>79</v>
      </c>
      <c r="L91" s="5" t="n">
        <v>91</v>
      </c>
      <c r="M91" s="5" t="n">
        <v>92</v>
      </c>
      <c r="N91" s="5">
        <f>SUM(H91:M91)</f>
        <v/>
      </c>
      <c r="O91" s="11">
        <f>RANK(H91,$H$5:$H$98)</f>
        <v/>
      </c>
      <c r="P91" s="11">
        <f>RANK(N91,$N$5:$N$98)</f>
        <v/>
      </c>
    </row>
    <row r="92" ht="26" customHeight="1">
      <c r="A92" s="5" t="inlineStr">
        <is>
          <t>086</t>
        </is>
      </c>
      <c r="B92" s="5" t="n"/>
      <c r="C92" s="21" t="inlineStr">
        <is>
          <t>Cheekie</t>
        </is>
      </c>
      <c r="D92" s="23" t="inlineStr">
        <is>
          <t>Glace</t>
        </is>
      </c>
      <c r="E92" s="35" t="inlineStr">
        <is>
          <t>BREAK</t>
        </is>
      </c>
      <c r="F92" s="9" t="inlineStr">
        <is>
          <t>📦 Portage (Carry)</t>
        </is>
      </c>
      <c r="G92" s="10" t="inlineStr">
        <is>
          <t>Lv.1</t>
        </is>
      </c>
      <c r="H92" s="5" t="n">
        <v>64</v>
      </c>
      <c r="I92" s="5" t="n">
        <v>89</v>
      </c>
      <c r="J92" s="5" t="n">
        <v>76</v>
      </c>
      <c r="K92" s="5" t="n">
        <v>79</v>
      </c>
      <c r="L92" s="5" t="n">
        <v>92</v>
      </c>
      <c r="M92" s="5" t="n">
        <v>88</v>
      </c>
      <c r="N92" s="5">
        <f>SUM(H92:M92)</f>
        <v/>
      </c>
      <c r="O92" s="11">
        <f>RANK(H92,$H$5:$H$98)</f>
        <v/>
      </c>
      <c r="P92" s="11">
        <f>RANK(N92,$N$5:$N$98)</f>
        <v/>
      </c>
    </row>
    <row r="93" ht="26" customHeight="1">
      <c r="A93" s="5" t="inlineStr">
        <is>
          <t>024</t>
        </is>
      </c>
      <c r="B93" s="5" t="n"/>
      <c r="C93" s="21" t="inlineStr">
        <is>
          <t>Budclaw</t>
        </is>
      </c>
      <c r="D93" s="22" t="inlineStr">
        <is>
          <t>Roche, Plante</t>
        </is>
      </c>
      <c r="E93" s="35" t="inlineStr">
        <is>
          <t>BREAK</t>
        </is>
      </c>
      <c r="F93" s="9" t="inlineStr">
        <is>
          <t>📦 Portage (Carry)</t>
        </is>
      </c>
      <c r="G93" s="10" t="inlineStr">
        <is>
          <t>Lv.1</t>
        </is>
      </c>
      <c r="H93" s="5" t="n">
        <v>64</v>
      </c>
      <c r="I93" s="5" t="n">
        <v>76</v>
      </c>
      <c r="J93" s="5" t="n">
        <v>93</v>
      </c>
      <c r="K93" s="5" t="n">
        <v>65</v>
      </c>
      <c r="L93" s="5" t="n">
        <v>84</v>
      </c>
      <c r="M93" s="5" t="n">
        <v>72</v>
      </c>
      <c r="N93" s="5">
        <f>SUM(H93:M93)</f>
        <v/>
      </c>
      <c r="O93" s="11">
        <f>RANK(H93,$H$5:$H$98)</f>
        <v/>
      </c>
      <c r="P93" s="11">
        <f>RANK(N93,$N$5:$N$98)</f>
        <v/>
      </c>
    </row>
    <row r="94" ht="26" customHeight="1">
      <c r="A94" s="5" t="inlineStr">
        <is>
          <t>065</t>
        </is>
      </c>
      <c r="B94" s="5" t="n"/>
      <c r="C94" s="21" t="inlineStr">
        <is>
          <t>Jawling</t>
        </is>
      </c>
      <c r="D94" s="7" t="inlineStr">
        <is>
          <t>Vent</t>
        </is>
      </c>
      <c r="E94" s="35" t="inlineStr">
        <is>
          <t>BREAK</t>
        </is>
      </c>
      <c r="F94" s="9" t="inlineStr">
        <is>
          <t>📦 Portage (Carry)</t>
        </is>
      </c>
      <c r="G94" s="10" t="inlineStr">
        <is>
          <t>Lv.1</t>
        </is>
      </c>
      <c r="H94" s="5" t="n">
        <v>64</v>
      </c>
      <c r="I94" s="5" t="n">
        <v>79</v>
      </c>
      <c r="J94" s="5" t="n">
        <v>83</v>
      </c>
      <c r="K94" s="5" t="n">
        <v>51</v>
      </c>
      <c r="L94" s="5" t="n">
        <v>76</v>
      </c>
      <c r="M94" s="5" t="n">
        <v>63</v>
      </c>
      <c r="N94" s="5">
        <f>SUM(H94:M94)</f>
        <v/>
      </c>
      <c r="O94" s="11">
        <f>RANK(H94,$H$5:$H$98)</f>
        <v/>
      </c>
      <c r="P94" s="11">
        <f>RANK(N94,$N$5:$N$98)</f>
        <v/>
      </c>
    </row>
    <row r="95" ht="26" customHeight="1">
      <c r="A95" s="5" t="inlineStr">
        <is>
          <t>050</t>
        </is>
      </c>
      <c r="B95" s="5" t="n"/>
      <c r="C95" s="21" t="inlineStr">
        <is>
          <t>Susuta</t>
        </is>
      </c>
      <c r="D95" s="26" t="inlineStr">
        <is>
          <t>Eau</t>
        </is>
      </c>
      <c r="E95" s="35" t="inlineStr">
        <is>
          <t>BREAK</t>
        </is>
      </c>
      <c r="F95" s="24" t="inlineStr">
        <is>
          <t>🪁 Loisir (Leisure)</t>
        </is>
      </c>
      <c r="G95" s="25" t="inlineStr">
        <is>
          <t>Lv.4</t>
        </is>
      </c>
      <c r="H95" s="5" t="n">
        <v>61</v>
      </c>
      <c r="I95" s="5" t="n">
        <v>81</v>
      </c>
      <c r="J95" s="5" t="n">
        <v>53</v>
      </c>
      <c r="K95" s="5" t="n">
        <v>80</v>
      </c>
      <c r="L95" s="5" t="n">
        <v>72</v>
      </c>
      <c r="M95" s="5" t="n">
        <v>64</v>
      </c>
      <c r="N95" s="5">
        <f>SUM(H95:M95)</f>
        <v/>
      </c>
      <c r="O95" s="11">
        <f>RANK(H95,$H$5:$H$98)</f>
        <v/>
      </c>
      <c r="P95" s="11">
        <f>RANK(N95,$N$5:$N$98)</f>
        <v/>
      </c>
    </row>
    <row r="96" ht="26" customHeight="1">
      <c r="A96" s="5" t="inlineStr">
        <is>
          <t>021</t>
        </is>
      </c>
      <c r="B96" s="5" t="n"/>
      <c r="C96" s="21" t="inlineStr">
        <is>
          <t>Hummin</t>
        </is>
      </c>
      <c r="D96" s="27" t="inlineStr">
        <is>
          <t>Plante</t>
        </is>
      </c>
      <c r="E96" s="35" t="inlineStr">
        <is>
          <t>BREAK</t>
        </is>
      </c>
      <c r="F96" s="19" t="inlineStr">
        <is>
          <t>🔨 Artisanat (Artisanship)</t>
        </is>
      </c>
      <c r="G96" s="20" t="inlineStr">
        <is>
          <t>Lv.3</t>
        </is>
      </c>
      <c r="H96" s="5" t="n">
        <v>60</v>
      </c>
      <c r="I96" s="5" t="n">
        <v>94</v>
      </c>
      <c r="J96" s="5" t="n">
        <v>70</v>
      </c>
      <c r="K96" s="5" t="n">
        <v>94</v>
      </c>
      <c r="L96" s="5" t="n">
        <v>80</v>
      </c>
      <c r="M96" s="5" t="n">
        <v>60</v>
      </c>
      <c r="N96" s="5">
        <f>SUM(H96:M96)</f>
        <v/>
      </c>
      <c r="O96" s="11">
        <f>RANK(H96,$H$5:$H$98)</f>
        <v/>
      </c>
      <c r="P96" s="11">
        <f>RANK(N96,$N$5:$N$98)</f>
        <v/>
      </c>
    </row>
    <row r="97" ht="26" customHeight="1">
      <c r="A97" s="5" t="inlineStr">
        <is>
          <t>014</t>
        </is>
      </c>
      <c r="B97" s="5" t="n"/>
      <c r="C97" s="21" t="inlineStr">
        <is>
          <t>Skippy</t>
        </is>
      </c>
      <c r="D97" s="26" t="inlineStr">
        <is>
          <t>Eau</t>
        </is>
      </c>
      <c r="E97" s="34" t="inlineStr">
        <is>
          <t>HEAL</t>
        </is>
      </c>
      <c r="F97" s="9" t="inlineStr">
        <is>
          <t>📦 Portage (Carry)</t>
        </is>
      </c>
      <c r="G97" s="10" t="inlineStr">
        <is>
          <t>Lv.1</t>
        </is>
      </c>
      <c r="H97" s="5" t="n">
        <v>54</v>
      </c>
      <c r="I97" s="5" t="n">
        <v>69</v>
      </c>
      <c r="J97" s="5" t="n">
        <v>45</v>
      </c>
      <c r="K97" s="5" t="n">
        <v>66</v>
      </c>
      <c r="L97" s="5" t="n">
        <v>50</v>
      </c>
      <c r="M97" s="5" t="n">
        <v>48</v>
      </c>
      <c r="N97" s="5">
        <f>SUM(H97:M97)</f>
        <v/>
      </c>
      <c r="O97" s="11">
        <f>RANK(H97,$H$5:$H$98)</f>
        <v/>
      </c>
      <c r="P97" s="11">
        <f>RANK(N97,$N$5:$N$98)</f>
        <v/>
      </c>
    </row>
    <row r="98" ht="26" customHeight="1">
      <c r="A98" s="5" t="inlineStr">
        <is>
          <t>062</t>
        </is>
      </c>
      <c r="B98" s="5" t="n"/>
      <c r="C98" s="21" t="inlineStr">
        <is>
          <t>Helmut</t>
        </is>
      </c>
      <c r="D98" s="18" t="inlineStr">
        <is>
          <t>Ténèbres</t>
        </is>
      </c>
      <c r="E98" s="35" t="inlineStr">
        <is>
          <t>BREAK</t>
        </is>
      </c>
      <c r="F98" s="9" t="inlineStr">
        <is>
          <t>📦 Portage (Carry)</t>
        </is>
      </c>
      <c r="G98" s="10" t="inlineStr">
        <is>
          <t>Lv.1</t>
        </is>
      </c>
      <c r="H98" s="5" t="n">
        <v>52</v>
      </c>
      <c r="I98" s="5" t="n">
        <v>60</v>
      </c>
      <c r="J98" s="5" t="n">
        <v>68</v>
      </c>
      <c r="K98" s="5" t="n">
        <v>48</v>
      </c>
      <c r="L98" s="5" t="n">
        <v>60</v>
      </c>
      <c r="M98" s="5" t="n">
        <v>51</v>
      </c>
      <c r="N98" s="5">
        <f>SUM(H98:M98)</f>
        <v/>
      </c>
      <c r="O98" s="11">
        <f>RANK(H98,$H$5:$H$98)</f>
        <v/>
      </c>
      <c r="P98" s="11">
        <f>RANK(N98,$N$5:$N$98)</f>
        <v/>
      </c>
    </row>
    <row r="100" ht="40" customHeight="1">
      <c r="A100" s="36" t="inlineStr">
        <is>
          <t>Tri : ATK décroissante (puis Total). Icône : pastille aux couleurs de l'élément, initiales de l'Aniimo, pastille de rôle en bas à droite. Couleur de la colonne Métier = métier ; couleur de « Niv. max métier » = niveau (gris Lv.1 → doré Lv.4). « n.c. » = aucun métier Homeland recensé. Note : dans Excel les images ne suivent pas le filtre automatique — la version web n'a pas ce défaut.</t>
        </is>
      </c>
    </row>
  </sheetData>
  <autoFilter ref="A4:P98"/>
  <mergeCells count="3">
    <mergeCell ref="A1:P1"/>
    <mergeCell ref="A100:P100"/>
    <mergeCell ref="A2:P2"/>
  </mergeCells>
  <conditionalFormatting sqref="H5:H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:N9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98">
    <cfRule type="colorScale" priority="3">
      <colorScale>
        <cfvo type="min"/>
        <cfvo type="max"/>
        <color rgb="00FFFFFF"/>
        <color rgb="009BC2E6"/>
      </colorScale>
    </cfRule>
  </conditionalFormatting>
  <conditionalFormatting sqref="J5:J98">
    <cfRule type="colorScale" priority="4">
      <colorScale>
        <cfvo type="min"/>
        <cfvo type="max"/>
        <color rgb="00FFFFFF"/>
        <color rgb="009BC2E6"/>
      </colorScale>
    </cfRule>
  </conditionalFormatting>
  <conditionalFormatting sqref="K5:K98">
    <cfRule type="colorScale" priority="5">
      <colorScale>
        <cfvo type="min"/>
        <cfvo type="max"/>
        <color rgb="00FFFFFF"/>
        <color rgb="009BC2E6"/>
      </colorScale>
    </cfRule>
  </conditionalFormatting>
  <conditionalFormatting sqref="L5:L98">
    <cfRule type="colorScale" priority="6">
      <colorScale>
        <cfvo type="min"/>
        <cfvo type="max"/>
        <color rgb="00FFFFFF"/>
        <color rgb="009BC2E6"/>
      </colorScale>
    </cfRule>
  </conditionalFormatting>
  <conditionalFormatting sqref="M5:M98">
    <cfRule type="colorScale" priority="7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6" customWidth="1" min="4" max="4"/>
    <col width="20" customWidth="1" min="5" max="5"/>
    <col width="13" customWidth="1" min="6" max="6"/>
    <col width="16" customWidth="1" min="7" max="7"/>
    <col width="62" customWidth="1" min="8" max="8"/>
  </cols>
  <sheetData>
    <row r="1">
      <c r="A1" s="1" t="inlineStr">
        <is>
          <t>ANIIMO — Classement des métiers du Foyer</t>
        </is>
      </c>
    </row>
    <row r="2">
      <c r="A2" s="2" t="inlineStr">
        <is>
          <t>Classés par niveau maximum atteint puis par rendement. Chaque métier a sa couleur et son icône, reprises dans tous les autres onglets.</t>
        </is>
      </c>
    </row>
    <row r="4" ht="30" customHeight="1">
      <c r="A4" s="3" t="inlineStr">
        <is>
          <t>Rang</t>
        </is>
      </c>
      <c r="B4" s="3" t="inlineStr">
        <is>
          <t>Icône</t>
        </is>
      </c>
      <c r="C4" s="3" t="inlineStr">
        <is>
          <t>Métier</t>
        </is>
      </c>
      <c r="D4" s="3" t="inlineStr">
        <is>
          <t>Icône texte</t>
        </is>
      </c>
      <c r="E4" s="3" t="inlineStr">
        <is>
          <t>Niv. max</t>
        </is>
      </c>
      <c r="F4" s="3" t="inlineStr">
        <is>
          <t>Rendement (charge/min)</t>
        </is>
      </c>
      <c r="G4" s="3" t="inlineStr">
        <is>
          <t>Nb d'Aniimos</t>
        </is>
      </c>
      <c r="H4" s="3" t="inlineStr">
        <is>
          <t>Ce que fait le métier</t>
        </is>
      </c>
    </row>
    <row r="5" ht="40" customHeight="1">
      <c r="A5" s="37" t="n">
        <v>1</v>
      </c>
      <c r="B5" s="38" t="n"/>
      <c r="C5" s="37" t="inlineStr">
        <is>
          <t>Loisir (Leisure)</t>
        </is>
      </c>
      <c r="D5" s="39" t="inlineStr">
        <is>
          <t>🪁</t>
        </is>
      </c>
      <c r="E5" s="37" t="inlineStr">
        <is>
          <t>Lv.4</t>
        </is>
      </c>
      <c r="F5" s="38" t="n">
        <v>105</v>
      </c>
      <c r="G5" s="38" t="n">
        <v>22</v>
      </c>
      <c r="H5" s="40" t="inlineStr">
        <is>
          <t>Les Aniimo joueurs produisent divers objets tout en s'amusant. Métier qui monte le plus haut (Lv.4).</t>
        </is>
      </c>
    </row>
    <row r="6" ht="40" customHeight="1">
      <c r="A6" s="41" t="n">
        <v>2</v>
      </c>
      <c r="B6" s="38" t="n"/>
      <c r="C6" s="41" t="inlineStr">
        <is>
          <t>Artisanat (Artisanship)</t>
        </is>
      </c>
      <c r="D6" s="42" t="inlineStr">
        <is>
          <t>🔨</t>
        </is>
      </c>
      <c r="E6" s="41" t="inlineStr">
        <is>
          <t>Lv.3</t>
        </is>
      </c>
      <c r="F6" s="38" t="n">
        <v>90</v>
      </c>
      <c r="G6" s="38" t="n">
        <v>23</v>
      </c>
      <c r="H6" s="40" t="inlineStr">
        <is>
          <t>Les Aniimo bricoleurs fabriquent meubles, objets d'apparence et autres biens pour le Foyer.</t>
        </is>
      </c>
    </row>
    <row r="7" ht="40" customHeight="1">
      <c r="A7" s="43" t="n">
        <v>3</v>
      </c>
      <c r="B7" s="38" t="n"/>
      <c r="C7" s="43" t="inlineStr">
        <is>
          <t>Parfumerie (Perfumery)</t>
        </is>
      </c>
      <c r="D7" s="44" t="inlineStr">
        <is>
          <t>🌸</t>
        </is>
      </c>
      <c r="E7" s="43" t="inlineStr">
        <is>
          <t>Lv.3</t>
        </is>
      </c>
      <c r="F7" s="38" t="n">
        <v>90</v>
      </c>
      <c r="G7" s="38" t="n">
        <v>2</v>
      </c>
      <c r="H7" s="40" t="inlineStr">
        <is>
          <t>Spécialistes du banc à parfum. Métier le plus rare du jeu : 2 Aniimo seulement.</t>
        </is>
      </c>
    </row>
    <row r="8" ht="40" customHeight="1">
      <c r="A8" s="45" t="n">
        <v>4</v>
      </c>
      <c r="B8" s="38" t="n"/>
      <c r="C8" s="45" t="inlineStr">
        <is>
          <t>Portage (Carry)</t>
        </is>
      </c>
      <c r="D8" s="46" t="inlineStr">
        <is>
          <t>📦</t>
        </is>
      </c>
      <c r="E8" s="45" t="inlineStr">
        <is>
          <t>Lv.1</t>
        </is>
      </c>
      <c r="F8" s="38" t="n">
        <v>60</v>
      </c>
      <c r="G8" s="38" t="n">
        <v>35</v>
      </c>
      <c r="H8" s="40" t="inlineStr">
        <is>
          <t>Récupèrent la production stockée dans les installations et la rapportent à la réserve du Foyer.</t>
        </is>
      </c>
    </row>
    <row r="9" ht="40" customHeight="1">
      <c r="A9" s="47" t="inlineStr">
        <is>
          <t>—</t>
        </is>
      </c>
      <c r="B9" s="48" t="n"/>
      <c r="C9" s="47" t="inlineStr">
        <is>
          <t>Aucun métier recensé</t>
        </is>
      </c>
      <c r="D9" s="47" t="inlineStr">
        <is>
          <t>—</t>
        </is>
      </c>
      <c r="E9" s="47" t="inlineStr">
        <is>
          <t>—</t>
        </is>
      </c>
      <c r="F9" s="48" t="inlineStr">
        <is>
          <t>—</t>
        </is>
      </c>
      <c r="G9" s="48" t="n">
        <v>14</v>
      </c>
      <c r="H9" s="49" t="inlineStr">
        <is>
          <t>Aucune source publique ne leur attribue de métier du Foyer.</t>
        </is>
      </c>
    </row>
    <row r="12">
      <c r="A12" s="50" t="inlineStr">
        <is>
          <t>Échelle de rendement des métiers</t>
        </is>
      </c>
    </row>
    <row r="13">
      <c r="A13" s="51" t="inlineStr">
        <is>
          <t>Niveau</t>
        </is>
      </c>
      <c r="B13" s="51" t="inlineStr">
        <is>
          <t>Rendement (charge/min)</t>
        </is>
      </c>
      <c r="C13" s="51" t="inlineStr">
        <is>
          <t>Écart vs Lv.1</t>
        </is>
      </c>
      <c r="D13" s="51" t="inlineStr">
        <is>
          <t>Métiers concernés</t>
        </is>
      </c>
    </row>
    <row r="14">
      <c r="A14" s="52" t="inlineStr">
        <is>
          <t>Lv.1</t>
        </is>
      </c>
      <c r="B14" s="5" t="n">
        <v>60</v>
      </c>
      <c r="C14" s="53" t="n">
        <v>0</v>
      </c>
      <c r="D14" s="54" t="inlineStr">
        <is>
          <t>Portage</t>
        </is>
      </c>
    </row>
    <row r="15">
      <c r="A15" s="55" t="inlineStr">
        <is>
          <t>Lv.2</t>
        </is>
      </c>
      <c r="B15" s="5" t="n">
        <v>75</v>
      </c>
      <c r="C15" s="53" t="n">
        <v>0.25</v>
      </c>
      <c r="D15" s="54" t="inlineStr">
        <is>
          <t>—</t>
        </is>
      </c>
    </row>
    <row r="16">
      <c r="A16" s="56" t="inlineStr">
        <is>
          <t>Lv.3</t>
        </is>
      </c>
      <c r="B16" s="5" t="n">
        <v>90</v>
      </c>
      <c r="C16" s="53" t="n">
        <v>0.5</v>
      </c>
      <c r="D16" s="54" t="inlineStr">
        <is>
          <t>Artisanat, Parfumerie</t>
        </is>
      </c>
    </row>
    <row r="17">
      <c r="A17" s="57" t="inlineStr">
        <is>
          <t>Lv.4</t>
        </is>
      </c>
      <c r="B17" s="58" t="n">
        <v>105</v>
      </c>
      <c r="C17" s="59" t="n">
        <v>0.75</v>
      </c>
      <c r="D17" s="21" t="inlineStr">
        <is>
          <t>Loisir</t>
        </is>
      </c>
    </row>
    <row r="19">
      <c r="A19" s="50" t="inlineStr">
        <is>
          <t>Tous les Aniimos regroupés par métier</t>
        </is>
      </c>
    </row>
    <row r="20">
      <c r="A20" s="51" t="inlineStr">
        <is>
          <t>Métier</t>
        </is>
      </c>
      <c r="B20" s="51" t="inlineStr">
        <is>
          <t>Icône</t>
        </is>
      </c>
      <c r="C20" s="51" t="inlineStr">
        <is>
          <t>Aniimo</t>
        </is>
      </c>
      <c r="D20" s="51" t="inlineStr">
        <is>
          <t>Élément</t>
        </is>
      </c>
      <c r="E20" s="51" t="inlineStr">
        <is>
          <t>Rôle</t>
        </is>
      </c>
      <c r="F20" s="51" t="inlineStr">
        <is>
          <t>ATK</t>
        </is>
      </c>
      <c r="G20" s="51" t="inlineStr">
        <is>
          <t>Total attributs</t>
        </is>
      </c>
    </row>
    <row r="21">
      <c r="A21" s="60" t="inlineStr">
        <is>
          <t>Loisir</t>
        </is>
      </c>
      <c r="B21" s="61" t="inlineStr">
        <is>
          <t>🪁</t>
        </is>
      </c>
      <c r="C21" s="21" t="inlineStr">
        <is>
          <t>Stellarys</t>
        </is>
      </c>
      <c r="D21" s="18" t="inlineStr">
        <is>
          <t>Ténèbres</t>
        </is>
      </c>
      <c r="E21" s="15" t="inlineStr">
        <is>
          <t>DPS</t>
        </is>
      </c>
      <c r="F21" s="5" t="n">
        <v>125</v>
      </c>
      <c r="G21" s="5" t="n">
        <v>485</v>
      </c>
    </row>
    <row r="22">
      <c r="A22" s="60" t="inlineStr">
        <is>
          <t>Loisir</t>
        </is>
      </c>
      <c r="B22" s="61" t="inlineStr">
        <is>
          <t>🪁</t>
        </is>
      </c>
      <c r="C22" s="21" t="inlineStr">
        <is>
          <t>Sherro</t>
        </is>
      </c>
      <c r="D22" s="26" t="inlineStr">
        <is>
          <t>Eau</t>
        </is>
      </c>
      <c r="E22" s="15" t="inlineStr">
        <is>
          <t>DPS</t>
        </is>
      </c>
      <c r="F22" s="5" t="n">
        <v>121</v>
      </c>
      <c r="G22" s="5" t="n">
        <v>509</v>
      </c>
    </row>
    <row r="23">
      <c r="A23" s="60" t="inlineStr">
        <is>
          <t>Loisir</t>
        </is>
      </c>
      <c r="B23" s="61" t="inlineStr">
        <is>
          <t>🪁</t>
        </is>
      </c>
      <c r="C23" s="21" t="inlineStr">
        <is>
          <t>Waleetle</t>
        </is>
      </c>
      <c r="D23" s="22" t="inlineStr">
        <is>
          <t>Roche</t>
        </is>
      </c>
      <c r="E23" s="15" t="inlineStr">
        <is>
          <t>DPS</t>
        </is>
      </c>
      <c r="F23" s="5" t="n">
        <v>120</v>
      </c>
      <c r="G23" s="5" t="n">
        <v>520</v>
      </c>
    </row>
    <row r="24">
      <c r="A24" s="60" t="inlineStr">
        <is>
          <t>Loisir</t>
        </is>
      </c>
      <c r="B24" s="61" t="inlineStr">
        <is>
          <t>🪁</t>
        </is>
      </c>
      <c r="C24" s="21" t="inlineStr">
        <is>
          <t>Bouldus</t>
        </is>
      </c>
      <c r="D24" s="22" t="inlineStr">
        <is>
          <t>Roche</t>
        </is>
      </c>
      <c r="E24" s="8" t="inlineStr">
        <is>
          <t>SUPPORT</t>
        </is>
      </c>
      <c r="F24" s="5" t="n">
        <v>119</v>
      </c>
      <c r="G24" s="5" t="n">
        <v>521</v>
      </c>
    </row>
    <row r="25">
      <c r="A25" s="60" t="inlineStr">
        <is>
          <t>Loisir</t>
        </is>
      </c>
      <c r="B25" s="61" t="inlineStr">
        <is>
          <t>🪁</t>
        </is>
      </c>
      <c r="C25" s="21" t="inlineStr">
        <is>
          <t>Irisal</t>
        </is>
      </c>
      <c r="D25" s="27" t="inlineStr">
        <is>
          <t>Plante</t>
        </is>
      </c>
      <c r="E25" s="15" t="inlineStr">
        <is>
          <t>DPS</t>
        </is>
      </c>
      <c r="F25" s="5" t="n">
        <v>116</v>
      </c>
      <c r="G25" s="5" t="n">
        <v>504</v>
      </c>
    </row>
    <row r="26">
      <c r="A26" s="60" t="inlineStr">
        <is>
          <t>Loisir</t>
        </is>
      </c>
      <c r="B26" s="61" t="inlineStr">
        <is>
          <t>🪁</t>
        </is>
      </c>
      <c r="C26" s="21" t="inlineStr">
        <is>
          <t>Sheldon</t>
        </is>
      </c>
      <c r="D26" s="26" t="inlineStr">
        <is>
          <t>Eau</t>
        </is>
      </c>
      <c r="E26" s="15" t="inlineStr">
        <is>
          <t>DPS</t>
        </is>
      </c>
      <c r="F26" s="5" t="n">
        <v>109</v>
      </c>
      <c r="G26" s="5" t="n">
        <v>458</v>
      </c>
    </row>
    <row r="27">
      <c r="A27" s="60" t="inlineStr">
        <is>
          <t>Loisir</t>
        </is>
      </c>
      <c r="B27" s="61" t="inlineStr">
        <is>
          <t>🪁</t>
        </is>
      </c>
      <c r="C27" s="21" t="inlineStr">
        <is>
          <t>Piopiota</t>
        </is>
      </c>
      <c r="D27" s="26" t="inlineStr">
        <is>
          <t>Eau</t>
        </is>
      </c>
      <c r="E27" s="8" t="inlineStr">
        <is>
          <t>SUPPORT</t>
        </is>
      </c>
      <c r="F27" s="5" t="n">
        <v>108</v>
      </c>
      <c r="G27" s="5" t="n">
        <v>532</v>
      </c>
    </row>
    <row r="28">
      <c r="A28" s="60" t="inlineStr">
        <is>
          <t>Loisir</t>
        </is>
      </c>
      <c r="B28" s="61" t="inlineStr">
        <is>
          <t>🪁</t>
        </is>
      </c>
      <c r="C28" s="21" t="inlineStr">
        <is>
          <t>Celestis</t>
        </is>
      </c>
      <c r="D28" s="18" t="inlineStr">
        <is>
          <t>Ténèbres</t>
        </is>
      </c>
      <c r="E28" s="15" t="inlineStr">
        <is>
          <t>DPS</t>
        </is>
      </c>
      <c r="F28" s="5" t="n">
        <v>106</v>
      </c>
      <c r="G28" s="5" t="n">
        <v>412</v>
      </c>
    </row>
    <row r="29">
      <c r="A29" s="60" t="inlineStr">
        <is>
          <t>Loisir</t>
        </is>
      </c>
      <c r="B29" s="61" t="inlineStr">
        <is>
          <t>🪁</t>
        </is>
      </c>
      <c r="C29" s="21" t="inlineStr">
        <is>
          <t>Baleetle</t>
        </is>
      </c>
      <c r="D29" s="22" t="inlineStr">
        <is>
          <t>Roche</t>
        </is>
      </c>
      <c r="E29" s="15" t="inlineStr">
        <is>
          <t>DPS</t>
        </is>
      </c>
      <c r="F29" s="5" t="n">
        <v>102</v>
      </c>
      <c r="G29" s="5" t="n">
        <v>442</v>
      </c>
    </row>
    <row r="30">
      <c r="A30" s="60" t="inlineStr">
        <is>
          <t>Loisir</t>
        </is>
      </c>
      <c r="B30" s="61" t="inlineStr">
        <is>
          <t>🪁</t>
        </is>
      </c>
      <c r="C30" s="21" t="inlineStr">
        <is>
          <t>Iris</t>
        </is>
      </c>
      <c r="D30" s="27" t="inlineStr">
        <is>
          <t>Plante</t>
        </is>
      </c>
      <c r="E30" s="15" t="inlineStr">
        <is>
          <t>DPS</t>
        </is>
      </c>
      <c r="F30" s="5" t="n">
        <v>101</v>
      </c>
      <c r="G30" s="5" t="n">
        <v>397</v>
      </c>
    </row>
    <row r="31">
      <c r="A31" s="60" t="inlineStr">
        <is>
          <t>Loisir</t>
        </is>
      </c>
      <c r="B31" s="61" t="inlineStr">
        <is>
          <t>🪁</t>
        </is>
      </c>
      <c r="C31" s="21" t="inlineStr">
        <is>
          <t>Popota</t>
        </is>
      </c>
      <c r="D31" s="26" t="inlineStr">
        <is>
          <t>Eau</t>
        </is>
      </c>
      <c r="E31" s="35" t="inlineStr">
        <is>
          <t>BREAK</t>
        </is>
      </c>
      <c r="F31" s="5" t="n">
        <v>96</v>
      </c>
      <c r="G31" s="5" t="n">
        <v>471</v>
      </c>
    </row>
    <row r="32">
      <c r="A32" s="60" t="inlineStr">
        <is>
          <t>Loisir</t>
        </is>
      </c>
      <c r="B32" s="61" t="inlineStr">
        <is>
          <t>🪁</t>
        </is>
      </c>
      <c r="C32" s="21" t="inlineStr">
        <is>
          <t>Gracewing</t>
        </is>
      </c>
      <c r="D32" s="7" t="inlineStr">
        <is>
          <t>Vent</t>
        </is>
      </c>
      <c r="E32" s="34" t="inlineStr">
        <is>
          <t>HEAL</t>
        </is>
      </c>
      <c r="F32" s="5" t="n">
        <v>95</v>
      </c>
      <c r="G32" s="5" t="n">
        <v>515</v>
      </c>
    </row>
    <row r="33">
      <c r="A33" s="60" t="inlineStr">
        <is>
          <t>Loisir</t>
        </is>
      </c>
      <c r="B33" s="61" t="inlineStr">
        <is>
          <t>🪁</t>
        </is>
      </c>
      <c r="C33" s="21" t="inlineStr">
        <is>
          <t>Somniwing</t>
        </is>
      </c>
      <c r="D33" s="7" t="inlineStr">
        <is>
          <t>Vent, Plante</t>
        </is>
      </c>
      <c r="E33" s="32" t="inlineStr">
        <is>
          <t>REGEN</t>
        </is>
      </c>
      <c r="F33" s="5" t="n">
        <v>92</v>
      </c>
      <c r="G33" s="5" t="n">
        <v>528</v>
      </c>
    </row>
    <row r="34">
      <c r="A34" s="60" t="inlineStr">
        <is>
          <t>Loisir</t>
        </is>
      </c>
      <c r="B34" s="61" t="inlineStr">
        <is>
          <t>🪁</t>
        </is>
      </c>
      <c r="C34" s="21" t="inlineStr">
        <is>
          <t>Dreaple</t>
        </is>
      </c>
      <c r="D34" s="18" t="inlineStr">
        <is>
          <t>Ténèbres</t>
        </is>
      </c>
      <c r="E34" s="8" t="inlineStr">
        <is>
          <t>SUPPORT</t>
        </is>
      </c>
      <c r="F34" s="5" t="n">
        <v>90</v>
      </c>
      <c r="G34" s="5" t="n">
        <v>530</v>
      </c>
    </row>
    <row r="35">
      <c r="A35" s="60" t="inlineStr">
        <is>
          <t>Loisir</t>
        </is>
      </c>
      <c r="B35" s="61" t="inlineStr">
        <is>
          <t>🪁</t>
        </is>
      </c>
      <c r="C35" s="21" t="inlineStr">
        <is>
          <t>Turbo</t>
        </is>
      </c>
      <c r="D35" s="7" t="inlineStr">
        <is>
          <t>Vent</t>
        </is>
      </c>
      <c r="E35" s="8" t="inlineStr">
        <is>
          <t>SUPPORT</t>
        </is>
      </c>
      <c r="F35" s="5" t="n">
        <v>90</v>
      </c>
      <c r="G35" s="5" t="n">
        <v>520</v>
      </c>
    </row>
    <row r="36">
      <c r="A36" s="60" t="inlineStr">
        <is>
          <t>Loisir</t>
        </is>
      </c>
      <c r="B36" s="61" t="inlineStr">
        <is>
          <t>🪁</t>
        </is>
      </c>
      <c r="C36" s="21" t="inlineStr">
        <is>
          <t>Shelly</t>
        </is>
      </c>
      <c r="D36" s="26" t="inlineStr">
        <is>
          <t>Eau</t>
        </is>
      </c>
      <c r="E36" s="15" t="inlineStr">
        <is>
          <t>DPS</t>
        </is>
      </c>
      <c r="F36" s="5" t="n">
        <v>90</v>
      </c>
      <c r="G36" s="5" t="n">
        <v>382</v>
      </c>
    </row>
    <row r="37">
      <c r="A37" s="60" t="inlineStr">
        <is>
          <t>Loisir</t>
        </is>
      </c>
      <c r="B37" s="61" t="inlineStr">
        <is>
          <t>🪁</t>
        </is>
      </c>
      <c r="C37" s="21" t="inlineStr">
        <is>
          <t>Panpanta</t>
        </is>
      </c>
      <c r="D37" s="26" t="inlineStr">
        <is>
          <t>Eau</t>
        </is>
      </c>
      <c r="E37" s="35" t="inlineStr">
        <is>
          <t>BREAK</t>
        </is>
      </c>
      <c r="F37" s="5" t="n">
        <v>85</v>
      </c>
      <c r="G37" s="5" t="n">
        <v>545</v>
      </c>
    </row>
    <row r="38">
      <c r="A38" s="60" t="inlineStr">
        <is>
          <t>Loisir</t>
        </is>
      </c>
      <c r="B38" s="61" t="inlineStr">
        <is>
          <t>🪁</t>
        </is>
      </c>
      <c r="C38" s="21" t="inlineStr">
        <is>
          <t>Flutternym</t>
        </is>
      </c>
      <c r="D38" s="7" t="inlineStr">
        <is>
          <t>Vent</t>
        </is>
      </c>
      <c r="E38" s="34" t="inlineStr">
        <is>
          <t>HEAL</t>
        </is>
      </c>
      <c r="F38" s="5" t="n">
        <v>81</v>
      </c>
      <c r="G38" s="5" t="n">
        <v>437</v>
      </c>
    </row>
    <row r="39">
      <c r="A39" s="60" t="inlineStr">
        <is>
          <t>Loisir</t>
        </is>
      </c>
      <c r="B39" s="61" t="inlineStr">
        <is>
          <t>🪁</t>
        </is>
      </c>
      <c r="C39" s="21" t="inlineStr">
        <is>
          <t>Nimbi</t>
        </is>
      </c>
      <c r="D39" s="7" t="inlineStr">
        <is>
          <t>Vent</t>
        </is>
      </c>
      <c r="E39" s="8" t="inlineStr">
        <is>
          <t>SUPPORT</t>
        </is>
      </c>
      <c r="F39" s="5" t="n">
        <v>76</v>
      </c>
      <c r="G39" s="5" t="n">
        <v>442</v>
      </c>
    </row>
    <row r="40">
      <c r="A40" s="60" t="inlineStr">
        <is>
          <t>Loisir</t>
        </is>
      </c>
      <c r="B40" s="61" t="inlineStr">
        <is>
          <t>🪁</t>
        </is>
      </c>
      <c r="C40" s="21" t="inlineStr">
        <is>
          <t>Susuta</t>
        </is>
      </c>
      <c r="D40" s="26" t="inlineStr">
        <is>
          <t>Eau</t>
        </is>
      </c>
      <c r="E40" s="35" t="inlineStr">
        <is>
          <t>BREAK</t>
        </is>
      </c>
      <c r="F40" s="5" t="n">
        <v>61</v>
      </c>
      <c r="G40" s="5" t="n">
        <v>411</v>
      </c>
    </row>
    <row r="41">
      <c r="A41" s="62" t="inlineStr">
        <is>
          <t>Artisanat</t>
        </is>
      </c>
      <c r="B41" s="63" t="inlineStr">
        <is>
          <t>🔨</t>
        </is>
      </c>
      <c r="C41" s="21" t="inlineStr">
        <is>
          <t>Pawney</t>
        </is>
      </c>
      <c r="D41" s="18" t="inlineStr">
        <is>
          <t>Ténèbres</t>
        </is>
      </c>
      <c r="E41" s="15" t="inlineStr">
        <is>
          <t>DPS</t>
        </is>
      </c>
      <c r="F41" s="5" t="n">
        <v>128</v>
      </c>
      <c r="G41" s="5" t="n">
        <v>512</v>
      </c>
    </row>
    <row r="42">
      <c r="A42" s="62" t="inlineStr">
        <is>
          <t>Artisanat</t>
        </is>
      </c>
      <c r="B42" s="63" t="inlineStr">
        <is>
          <t>🔨</t>
        </is>
      </c>
      <c r="C42" s="21" t="inlineStr">
        <is>
          <t>Ignitis</t>
        </is>
      </c>
      <c r="D42" s="18" t="inlineStr">
        <is>
          <t>Ténèbres</t>
        </is>
      </c>
      <c r="E42" s="15" t="inlineStr">
        <is>
          <t>DPS</t>
        </is>
      </c>
      <c r="F42" s="5" t="n">
        <v>128</v>
      </c>
      <c r="G42" s="5" t="n">
        <v>492</v>
      </c>
    </row>
    <row r="43">
      <c r="A43" s="62" t="inlineStr">
        <is>
          <t>Artisanat</t>
        </is>
      </c>
      <c r="B43" s="63" t="inlineStr">
        <is>
          <t>🔨</t>
        </is>
      </c>
      <c r="C43" s="21" t="inlineStr">
        <is>
          <t>Malevsera</t>
        </is>
      </c>
      <c r="D43" s="23" t="inlineStr">
        <is>
          <t>Glace</t>
        </is>
      </c>
      <c r="E43" s="15" t="inlineStr">
        <is>
          <t>DPS</t>
        </is>
      </c>
      <c r="F43" s="5" t="n">
        <v>125</v>
      </c>
      <c r="G43" s="5" t="n">
        <v>525</v>
      </c>
    </row>
    <row r="44">
      <c r="A44" s="62" t="inlineStr">
        <is>
          <t>Artisanat</t>
        </is>
      </c>
      <c r="B44" s="63" t="inlineStr">
        <is>
          <t>🔨</t>
        </is>
      </c>
      <c r="C44" s="21" t="inlineStr">
        <is>
          <t>Gachapus</t>
        </is>
      </c>
      <c r="D44" s="26" t="inlineStr">
        <is>
          <t>Eau</t>
        </is>
      </c>
      <c r="E44" s="15" t="inlineStr">
        <is>
          <t>DPS</t>
        </is>
      </c>
      <c r="F44" s="5" t="n">
        <v>121</v>
      </c>
      <c r="G44" s="5" t="n">
        <v>529</v>
      </c>
    </row>
    <row r="45">
      <c r="A45" s="62" t="inlineStr">
        <is>
          <t>Artisanat</t>
        </is>
      </c>
      <c r="B45" s="63" t="inlineStr">
        <is>
          <t>🔨</t>
        </is>
      </c>
      <c r="C45" s="21" t="inlineStr">
        <is>
          <t>Thornblade</t>
        </is>
      </c>
      <c r="D45" s="27" t="inlineStr">
        <is>
          <t>Plante</t>
        </is>
      </c>
      <c r="E45" s="15" t="inlineStr">
        <is>
          <t>DPS</t>
        </is>
      </c>
      <c r="F45" s="5" t="n">
        <v>121</v>
      </c>
      <c r="G45" s="5" t="n">
        <v>499</v>
      </c>
    </row>
    <row r="46">
      <c r="A46" s="62" t="inlineStr">
        <is>
          <t>Artisanat</t>
        </is>
      </c>
      <c r="B46" s="63" t="inlineStr">
        <is>
          <t>🔨</t>
        </is>
      </c>
      <c r="C46" s="21" t="inlineStr">
        <is>
          <t>Glynsera</t>
        </is>
      </c>
      <c r="D46" s="23" t="inlineStr">
        <is>
          <t>Glace</t>
        </is>
      </c>
      <c r="E46" s="15" t="inlineStr">
        <is>
          <t>DPS</t>
        </is>
      </c>
      <c r="F46" s="5" t="n">
        <v>117</v>
      </c>
      <c r="G46" s="5" t="n">
        <v>503</v>
      </c>
    </row>
    <row r="47">
      <c r="A47" s="62" t="inlineStr">
        <is>
          <t>Artisanat</t>
        </is>
      </c>
      <c r="B47" s="63" t="inlineStr">
        <is>
          <t>🔨</t>
        </is>
      </c>
      <c r="C47" s="21" t="inlineStr">
        <is>
          <t>Helion</t>
        </is>
      </c>
      <c r="D47" s="30" t="inlineStr">
        <is>
          <t>Lumière</t>
        </is>
      </c>
      <c r="E47" s="15" t="inlineStr">
        <is>
          <t>DPS</t>
        </is>
      </c>
      <c r="F47" s="5" t="n">
        <v>116</v>
      </c>
      <c r="G47" s="5" t="n">
        <v>504</v>
      </c>
    </row>
    <row r="48">
      <c r="A48" s="62" t="inlineStr">
        <is>
          <t>Artisanat</t>
        </is>
      </c>
      <c r="B48" s="63" t="inlineStr">
        <is>
          <t>🔨</t>
        </is>
      </c>
      <c r="C48" s="21" t="inlineStr">
        <is>
          <t>Melloblum</t>
        </is>
      </c>
      <c r="D48" s="27" t="inlineStr">
        <is>
          <t>Plante</t>
        </is>
      </c>
      <c r="E48" s="8" t="inlineStr">
        <is>
          <t>SUPPORT</t>
        </is>
      </c>
      <c r="F48" s="5" t="n">
        <v>108</v>
      </c>
      <c r="G48" s="5" t="n">
        <v>512</v>
      </c>
    </row>
    <row r="49">
      <c r="A49" s="62" t="inlineStr">
        <is>
          <t>Artisanat</t>
        </is>
      </c>
      <c r="B49" s="63" t="inlineStr">
        <is>
          <t>🔨</t>
        </is>
      </c>
      <c r="C49" s="21" t="inlineStr">
        <is>
          <t>Wisptis</t>
        </is>
      </c>
      <c r="D49" s="18" t="inlineStr">
        <is>
          <t>Ténèbres</t>
        </is>
      </c>
      <c r="E49" s="15" t="inlineStr">
        <is>
          <t>DPS</t>
        </is>
      </c>
      <c r="F49" s="5" t="n">
        <v>108</v>
      </c>
      <c r="G49" s="5" t="n">
        <v>419</v>
      </c>
    </row>
    <row r="50">
      <c r="A50" s="62" t="inlineStr">
        <is>
          <t>Artisanat</t>
        </is>
      </c>
      <c r="B50" s="63" t="inlineStr">
        <is>
          <t>🔨</t>
        </is>
      </c>
      <c r="C50" s="21" t="inlineStr">
        <is>
          <t>Malangel</t>
        </is>
      </c>
      <c r="D50" s="23" t="inlineStr">
        <is>
          <t>Glace</t>
        </is>
      </c>
      <c r="E50" s="15" t="inlineStr">
        <is>
          <t>DPS</t>
        </is>
      </c>
      <c r="F50" s="5" t="n">
        <v>105</v>
      </c>
      <c r="G50" s="5" t="n">
        <v>515</v>
      </c>
    </row>
    <row r="51">
      <c r="A51" s="62" t="inlineStr">
        <is>
          <t>Artisanat</t>
        </is>
      </c>
      <c r="B51" s="63" t="inlineStr">
        <is>
          <t>🔨</t>
        </is>
      </c>
      <c r="C51" s="21" t="inlineStr">
        <is>
          <t>Fenrier</t>
        </is>
      </c>
      <c r="D51" s="23" t="inlineStr">
        <is>
          <t>Glace</t>
        </is>
      </c>
      <c r="E51" s="15" t="inlineStr">
        <is>
          <t>DPS</t>
        </is>
      </c>
      <c r="F51" s="5" t="n">
        <v>105</v>
      </c>
      <c r="G51" s="5" t="n">
        <v>453</v>
      </c>
    </row>
    <row r="52">
      <c r="A52" s="62" t="inlineStr">
        <is>
          <t>Artisanat</t>
        </is>
      </c>
      <c r="B52" s="63" t="inlineStr">
        <is>
          <t>🔨</t>
        </is>
      </c>
      <c r="C52" s="21" t="inlineStr">
        <is>
          <t>Budsquire</t>
        </is>
      </c>
      <c r="D52" s="27" t="inlineStr">
        <is>
          <t>Plante</t>
        </is>
      </c>
      <c r="E52" s="15" t="inlineStr">
        <is>
          <t>DPS</t>
        </is>
      </c>
      <c r="F52" s="5" t="n">
        <v>103</v>
      </c>
      <c r="G52" s="5" t="n">
        <v>424</v>
      </c>
    </row>
    <row r="53">
      <c r="A53" s="62" t="inlineStr">
        <is>
          <t>Artisanat</t>
        </is>
      </c>
      <c r="B53" s="63" t="inlineStr">
        <is>
          <t>🔨</t>
        </is>
      </c>
      <c r="C53" s="21" t="inlineStr">
        <is>
          <t>Blazen</t>
        </is>
      </c>
      <c r="D53" s="14" t="inlineStr">
        <is>
          <t>Foudre</t>
        </is>
      </c>
      <c r="E53" s="35" t="inlineStr">
        <is>
          <t>BREAK</t>
        </is>
      </c>
      <c r="F53" s="5" t="n">
        <v>100</v>
      </c>
      <c r="G53" s="5" t="n">
        <v>530</v>
      </c>
    </row>
    <row r="54">
      <c r="A54" s="62" t="inlineStr">
        <is>
          <t>Artisanat</t>
        </is>
      </c>
      <c r="B54" s="63" t="inlineStr">
        <is>
          <t>🔨</t>
        </is>
      </c>
      <c r="C54" s="21" t="inlineStr">
        <is>
          <t>Rookey</t>
        </is>
      </c>
      <c r="D54" s="18" t="inlineStr">
        <is>
          <t>Ténèbres</t>
        </is>
      </c>
      <c r="E54" s="35" t="inlineStr">
        <is>
          <t>BREAK</t>
        </is>
      </c>
      <c r="F54" s="5" t="n">
        <v>92</v>
      </c>
      <c r="G54" s="5" t="n">
        <v>548</v>
      </c>
    </row>
    <row r="55">
      <c r="A55" s="62" t="inlineStr">
        <is>
          <t>Artisanat</t>
        </is>
      </c>
      <c r="B55" s="63" t="inlineStr">
        <is>
          <t>🔨</t>
        </is>
      </c>
      <c r="C55" s="21" t="inlineStr">
        <is>
          <t>Luminelle</t>
        </is>
      </c>
      <c r="D55" s="14" t="inlineStr">
        <is>
          <t>Foudre</t>
        </is>
      </c>
      <c r="E55" s="8" t="inlineStr">
        <is>
          <t>SUPPORT</t>
        </is>
      </c>
      <c r="F55" s="5" t="n">
        <v>90</v>
      </c>
      <c r="G55" s="5" t="n">
        <v>540</v>
      </c>
    </row>
    <row r="56">
      <c r="A56" s="62" t="inlineStr">
        <is>
          <t>Artisanat</t>
        </is>
      </c>
      <c r="B56" s="63" t="inlineStr">
        <is>
          <t>🔨</t>
        </is>
      </c>
      <c r="C56" s="21" t="inlineStr">
        <is>
          <t>Besauce</t>
        </is>
      </c>
      <c r="D56" s="14" t="inlineStr">
        <is>
          <t>Foudre</t>
        </is>
      </c>
      <c r="E56" s="32" t="inlineStr">
        <is>
          <t>REGEN</t>
        </is>
      </c>
      <c r="F56" s="5" t="n">
        <v>89</v>
      </c>
      <c r="G56" s="5" t="n">
        <v>521</v>
      </c>
    </row>
    <row r="57">
      <c r="A57" s="62" t="inlineStr">
        <is>
          <t>Artisanat</t>
        </is>
      </c>
      <c r="B57" s="63" t="inlineStr">
        <is>
          <t>🔨</t>
        </is>
      </c>
      <c r="C57" s="21" t="inlineStr">
        <is>
          <t>Bonesky</t>
        </is>
      </c>
      <c r="D57" s="23" t="inlineStr">
        <is>
          <t>Glace</t>
        </is>
      </c>
      <c r="E57" s="15" t="inlineStr">
        <is>
          <t>DPS</t>
        </is>
      </c>
      <c r="F57" s="5" t="n">
        <v>88</v>
      </c>
      <c r="G57" s="5" t="n">
        <v>377</v>
      </c>
    </row>
    <row r="58">
      <c r="A58" s="62" t="inlineStr">
        <is>
          <t>Artisanat</t>
        </is>
      </c>
      <c r="B58" s="63" t="inlineStr">
        <is>
          <t>🔨</t>
        </is>
      </c>
      <c r="C58" s="21" t="inlineStr">
        <is>
          <t>Bolty</t>
        </is>
      </c>
      <c r="D58" s="14" t="inlineStr">
        <is>
          <t>Foudre</t>
        </is>
      </c>
      <c r="E58" s="35" t="inlineStr">
        <is>
          <t>BREAK</t>
        </is>
      </c>
      <c r="F58" s="5" t="n">
        <v>85</v>
      </c>
      <c r="G58" s="5" t="n">
        <v>450</v>
      </c>
    </row>
    <row r="59">
      <c r="A59" s="62" t="inlineStr">
        <is>
          <t>Artisanat</t>
        </is>
      </c>
      <c r="B59" s="63" t="inlineStr">
        <is>
          <t>🔨</t>
        </is>
      </c>
      <c r="C59" s="21" t="inlineStr">
        <is>
          <t>Veilfloat</t>
        </is>
      </c>
      <c r="D59" s="14" t="inlineStr">
        <is>
          <t>Foudre</t>
        </is>
      </c>
      <c r="E59" s="8" t="inlineStr">
        <is>
          <t>SUPPORT</t>
        </is>
      </c>
      <c r="F59" s="5" t="n">
        <v>81</v>
      </c>
      <c r="G59" s="5" t="n">
        <v>486</v>
      </c>
    </row>
    <row r="60">
      <c r="A60" s="62" t="inlineStr">
        <is>
          <t>Artisanat</t>
        </is>
      </c>
      <c r="B60" s="63" t="inlineStr">
        <is>
          <t>🔨</t>
        </is>
      </c>
      <c r="C60" s="21" t="inlineStr">
        <is>
          <t>Tuckin</t>
        </is>
      </c>
      <c r="D60" s="27" t="inlineStr">
        <is>
          <t>Plante</t>
        </is>
      </c>
      <c r="E60" s="35" t="inlineStr">
        <is>
          <t>BREAK</t>
        </is>
      </c>
      <c r="F60" s="5" t="n">
        <v>80</v>
      </c>
      <c r="G60" s="5" t="n">
        <v>550</v>
      </c>
    </row>
    <row r="61">
      <c r="A61" s="62" t="inlineStr">
        <is>
          <t>Artisanat</t>
        </is>
      </c>
      <c r="B61" s="63" t="inlineStr">
        <is>
          <t>🔨</t>
        </is>
      </c>
      <c r="C61" s="21" t="inlineStr">
        <is>
          <t>Witchin</t>
        </is>
      </c>
      <c r="D61" s="18" t="inlineStr">
        <is>
          <t>Ténèbres, Plante</t>
        </is>
      </c>
      <c r="E61" s="32" t="inlineStr">
        <is>
          <t>REGEN</t>
        </is>
      </c>
      <c r="F61" s="5" t="n">
        <v>80</v>
      </c>
      <c r="G61" s="5" t="n">
        <v>530</v>
      </c>
    </row>
    <row r="62">
      <c r="A62" s="62" t="inlineStr">
        <is>
          <t>Artisanat</t>
        </is>
      </c>
      <c r="B62" s="63" t="inlineStr">
        <is>
          <t>🔨</t>
        </is>
      </c>
      <c r="C62" s="21" t="inlineStr">
        <is>
          <t>Bulbly</t>
        </is>
      </c>
      <c r="D62" s="14" t="inlineStr">
        <is>
          <t>Foudre</t>
        </is>
      </c>
      <c r="E62" s="8" t="inlineStr">
        <is>
          <t>SUPPORT</t>
        </is>
      </c>
      <c r="F62" s="5" t="n">
        <v>68</v>
      </c>
      <c r="G62" s="5" t="n">
        <v>404</v>
      </c>
    </row>
    <row r="63">
      <c r="A63" s="62" t="inlineStr">
        <is>
          <t>Artisanat</t>
        </is>
      </c>
      <c r="B63" s="63" t="inlineStr">
        <is>
          <t>🔨</t>
        </is>
      </c>
      <c r="C63" s="21" t="inlineStr">
        <is>
          <t>Hummin</t>
        </is>
      </c>
      <c r="D63" s="27" t="inlineStr">
        <is>
          <t>Plante</t>
        </is>
      </c>
      <c r="E63" s="35" t="inlineStr">
        <is>
          <t>BREAK</t>
        </is>
      </c>
      <c r="F63" s="5" t="n">
        <v>60</v>
      </c>
      <c r="G63" s="5" t="n">
        <v>458</v>
      </c>
    </row>
    <row r="64">
      <c r="A64" s="64" t="inlineStr">
        <is>
          <t>Parfumerie</t>
        </is>
      </c>
      <c r="B64" s="65" t="inlineStr">
        <is>
          <t>🌸</t>
        </is>
      </c>
      <c r="C64" s="21" t="inlineStr">
        <is>
          <t>Fragrancier</t>
        </is>
      </c>
      <c r="D64" s="18" t="inlineStr">
        <is>
          <t>Ténèbres</t>
        </is>
      </c>
      <c r="E64" s="8" t="inlineStr">
        <is>
          <t>SUPPORT</t>
        </is>
      </c>
      <c r="F64" s="5" t="n">
        <v>106</v>
      </c>
      <c r="G64" s="5" t="n">
        <v>514</v>
      </c>
    </row>
    <row r="65">
      <c r="A65" s="64" t="inlineStr">
        <is>
          <t>Parfumerie</t>
        </is>
      </c>
      <c r="B65" s="65" t="inlineStr">
        <is>
          <t>🌸</t>
        </is>
      </c>
      <c r="C65" s="21" t="inlineStr">
        <is>
          <t>Dewy</t>
        </is>
      </c>
      <c r="D65" s="18" t="inlineStr">
        <is>
          <t>Ténèbres</t>
        </is>
      </c>
      <c r="E65" s="8" t="inlineStr">
        <is>
          <t>SUPPORT</t>
        </is>
      </c>
      <c r="F65" s="5" t="n">
        <v>90</v>
      </c>
      <c r="G65" s="5" t="n">
        <v>437</v>
      </c>
    </row>
    <row r="66">
      <c r="A66" s="66" t="inlineStr">
        <is>
          <t>Portage</t>
        </is>
      </c>
      <c r="B66" s="67" t="inlineStr">
        <is>
          <t>📦</t>
        </is>
      </c>
      <c r="C66" s="21" t="inlineStr">
        <is>
          <t>Eklue</t>
        </is>
      </c>
      <c r="D66" s="7" t="inlineStr">
        <is>
          <t>Vent</t>
        </is>
      </c>
      <c r="E66" s="8" t="inlineStr">
        <is>
          <t>SUPPORT</t>
        </is>
      </c>
      <c r="F66" s="5" t="n">
        <v>132</v>
      </c>
      <c r="G66" s="5" t="n">
        <v>518</v>
      </c>
    </row>
    <row r="67">
      <c r="A67" s="66" t="inlineStr">
        <is>
          <t>Portage</t>
        </is>
      </c>
      <c r="B67" s="67" t="inlineStr">
        <is>
          <t>📦</t>
        </is>
      </c>
      <c r="C67" s="21" t="inlineStr">
        <is>
          <t>Fulmintis</t>
        </is>
      </c>
      <c r="D67" s="14" t="inlineStr">
        <is>
          <t>Foudre</t>
        </is>
      </c>
      <c r="E67" s="15" t="inlineStr">
        <is>
          <t>DPS</t>
        </is>
      </c>
      <c r="F67" s="5" t="n">
        <v>130</v>
      </c>
      <c r="G67" s="5" t="n">
        <v>520</v>
      </c>
    </row>
    <row r="68">
      <c r="A68" s="66" t="inlineStr">
        <is>
          <t>Portage</t>
        </is>
      </c>
      <c r="B68" s="67" t="inlineStr">
        <is>
          <t>📦</t>
        </is>
      </c>
      <c r="C68" s="21" t="inlineStr">
        <is>
          <t>Grizbo</t>
        </is>
      </c>
      <c r="D68" s="22" t="inlineStr">
        <is>
          <t>Roche</t>
        </is>
      </c>
      <c r="E68" s="15" t="inlineStr">
        <is>
          <t>DPS</t>
        </is>
      </c>
      <c r="F68" s="5" t="n">
        <v>126</v>
      </c>
      <c r="G68" s="5" t="n">
        <v>524</v>
      </c>
    </row>
    <row r="69">
      <c r="A69" s="66" t="inlineStr">
        <is>
          <t>Portage</t>
        </is>
      </c>
      <c r="B69" s="67" t="inlineStr">
        <is>
          <t>📦</t>
        </is>
      </c>
      <c r="C69" s="21" t="inlineStr">
        <is>
          <t>Fenmane</t>
        </is>
      </c>
      <c r="D69" s="14" t="inlineStr">
        <is>
          <t>Foudre</t>
        </is>
      </c>
      <c r="E69" s="15" t="inlineStr">
        <is>
          <t>DPS</t>
        </is>
      </c>
      <c r="F69" s="5" t="n">
        <v>125</v>
      </c>
      <c r="G69" s="5" t="n">
        <v>505</v>
      </c>
    </row>
    <row r="70">
      <c r="A70" s="66" t="inlineStr">
        <is>
          <t>Portage</t>
        </is>
      </c>
      <c r="B70" s="67" t="inlineStr">
        <is>
          <t>📦</t>
        </is>
      </c>
      <c r="C70" s="21" t="inlineStr">
        <is>
          <t>Scorchhowl</t>
        </is>
      </c>
      <c r="D70" s="31" t="inlineStr">
        <is>
          <t>Feu</t>
        </is>
      </c>
      <c r="E70" s="15" t="inlineStr">
        <is>
          <t>DPS</t>
        </is>
      </c>
      <c r="F70" s="5" t="n">
        <v>115</v>
      </c>
      <c r="G70" s="5" t="n">
        <v>495</v>
      </c>
    </row>
    <row r="71">
      <c r="A71" s="66" t="inlineStr">
        <is>
          <t>Portage</t>
        </is>
      </c>
      <c r="B71" s="67" t="inlineStr">
        <is>
          <t>📦</t>
        </is>
      </c>
      <c r="C71" s="21" t="inlineStr">
        <is>
          <t>Bailite</t>
        </is>
      </c>
      <c r="D71" s="22" t="inlineStr">
        <is>
          <t>Roche</t>
        </is>
      </c>
      <c r="E71" s="8" t="inlineStr">
        <is>
          <t>SUPPORT</t>
        </is>
      </c>
      <c r="F71" s="5" t="n">
        <v>114</v>
      </c>
      <c r="G71" s="5" t="n">
        <v>536</v>
      </c>
    </row>
    <row r="72">
      <c r="A72" s="66" t="inlineStr">
        <is>
          <t>Portage</t>
        </is>
      </c>
      <c r="B72" s="67" t="inlineStr">
        <is>
          <t>📦</t>
        </is>
      </c>
      <c r="C72" s="21" t="inlineStr">
        <is>
          <t>Eko</t>
        </is>
      </c>
      <c r="D72" s="7" t="inlineStr">
        <is>
          <t>Vent</t>
        </is>
      </c>
      <c r="E72" s="8" t="inlineStr">
        <is>
          <t>SUPPORT</t>
        </is>
      </c>
      <c r="F72" s="5" t="n">
        <v>112</v>
      </c>
      <c r="G72" s="5" t="n">
        <v>440</v>
      </c>
    </row>
    <row r="73">
      <c r="A73" s="66" t="inlineStr">
        <is>
          <t>Portage</t>
        </is>
      </c>
      <c r="B73" s="67" t="inlineStr">
        <is>
          <t>📦</t>
        </is>
      </c>
      <c r="C73" s="21" t="inlineStr">
        <is>
          <t>Dazmand</t>
        </is>
      </c>
      <c r="D73" s="14" t="inlineStr">
        <is>
          <t>Foudre</t>
        </is>
      </c>
      <c r="E73" s="8" t="inlineStr">
        <is>
          <t>SUPPORT</t>
        </is>
      </c>
      <c r="F73" s="5" t="n">
        <v>108</v>
      </c>
      <c r="G73" s="5" t="n">
        <v>532</v>
      </c>
    </row>
    <row r="74">
      <c r="A74" s="66" t="inlineStr">
        <is>
          <t>Portage</t>
        </is>
      </c>
      <c r="B74" s="67" t="inlineStr">
        <is>
          <t>📦</t>
        </is>
      </c>
      <c r="C74" s="21" t="inlineStr">
        <is>
          <t>Cubbo</t>
        </is>
      </c>
      <c r="D74" s="22" t="inlineStr">
        <is>
          <t>Roche</t>
        </is>
      </c>
      <c r="E74" s="15" t="inlineStr">
        <is>
          <t>DPS</t>
        </is>
      </c>
      <c r="F74" s="5" t="n">
        <v>107</v>
      </c>
      <c r="G74" s="5" t="n">
        <v>445</v>
      </c>
    </row>
    <row r="75">
      <c r="A75" s="66" t="inlineStr">
        <is>
          <t>Portage</t>
        </is>
      </c>
      <c r="B75" s="67" t="inlineStr">
        <is>
          <t>📦</t>
        </is>
      </c>
      <c r="C75" s="21" t="inlineStr">
        <is>
          <t>Fentuft</t>
        </is>
      </c>
      <c r="D75" s="14" t="inlineStr">
        <is>
          <t>Foudre</t>
        </is>
      </c>
      <c r="E75" s="15" t="inlineStr">
        <is>
          <t>DPS</t>
        </is>
      </c>
      <c r="F75" s="5" t="n">
        <v>106</v>
      </c>
      <c r="G75" s="5" t="n">
        <v>429</v>
      </c>
    </row>
    <row r="76">
      <c r="A76" s="66" t="inlineStr">
        <is>
          <t>Portage</t>
        </is>
      </c>
      <c r="B76" s="67" t="inlineStr">
        <is>
          <t>📦</t>
        </is>
      </c>
      <c r="C76" s="21" t="inlineStr">
        <is>
          <t>Flameruff</t>
        </is>
      </c>
      <c r="D76" s="31" t="inlineStr">
        <is>
          <t>Feu</t>
        </is>
      </c>
      <c r="E76" s="15" t="inlineStr">
        <is>
          <t>DPS</t>
        </is>
      </c>
      <c r="F76" s="5" t="n">
        <v>104</v>
      </c>
      <c r="G76" s="5" t="n">
        <v>445</v>
      </c>
    </row>
    <row r="77">
      <c r="A77" s="66" t="inlineStr">
        <is>
          <t>Portage</t>
        </is>
      </c>
      <c r="B77" s="67" t="inlineStr">
        <is>
          <t>📦</t>
        </is>
      </c>
      <c r="C77" s="21" t="inlineStr">
        <is>
          <t>Magmarex</t>
        </is>
      </c>
      <c r="D77" s="31" t="inlineStr">
        <is>
          <t>Feu, Roche</t>
        </is>
      </c>
      <c r="E77" s="35" t="inlineStr">
        <is>
          <t>BREAK</t>
        </is>
      </c>
      <c r="F77" s="5" t="n">
        <v>91</v>
      </c>
      <c r="G77" s="5" t="n">
        <v>549</v>
      </c>
    </row>
    <row r="78">
      <c r="A78" s="66" t="inlineStr">
        <is>
          <t>Portage</t>
        </is>
      </c>
      <c r="B78" s="67" t="inlineStr">
        <is>
          <t>📦</t>
        </is>
      </c>
      <c r="C78" s="21" t="inlineStr">
        <is>
          <t>Minespine</t>
        </is>
      </c>
      <c r="D78" s="22" t="inlineStr">
        <is>
          <t>Roche</t>
        </is>
      </c>
      <c r="E78" s="35" t="inlineStr">
        <is>
          <t>BREAK</t>
        </is>
      </c>
      <c r="F78" s="5" t="n">
        <v>90</v>
      </c>
      <c r="G78" s="5" t="n">
        <v>550</v>
      </c>
    </row>
    <row r="79">
      <c r="A79" s="66" t="inlineStr">
        <is>
          <t>Portage</t>
        </is>
      </c>
      <c r="B79" s="67" t="inlineStr">
        <is>
          <t>📦</t>
        </is>
      </c>
      <c r="C79" s="21" t="inlineStr">
        <is>
          <t>Leafy</t>
        </is>
      </c>
      <c r="D79" s="27" t="inlineStr">
        <is>
          <t>Plante, Eau</t>
        </is>
      </c>
      <c r="E79" s="32" t="inlineStr">
        <is>
          <t>REGEN</t>
        </is>
      </c>
      <c r="F79" s="5" t="n">
        <v>90</v>
      </c>
      <c r="G79" s="5" t="n">
        <v>530</v>
      </c>
    </row>
    <row r="80">
      <c r="A80" s="66" t="inlineStr">
        <is>
          <t>Portage</t>
        </is>
      </c>
      <c r="B80" s="67" t="inlineStr">
        <is>
          <t>📦</t>
        </is>
      </c>
      <c r="C80" s="21" t="inlineStr">
        <is>
          <t>Glacy</t>
        </is>
      </c>
      <c r="D80" s="26" t="inlineStr">
        <is>
          <t>Eau, Glace</t>
        </is>
      </c>
      <c r="E80" s="34" t="inlineStr">
        <is>
          <t>HEAL</t>
        </is>
      </c>
      <c r="F80" s="5" t="n">
        <v>90</v>
      </c>
      <c r="G80" s="5" t="n">
        <v>520</v>
      </c>
    </row>
    <row r="81">
      <c r="A81" s="66" t="inlineStr">
        <is>
          <t>Portage</t>
        </is>
      </c>
      <c r="B81" s="67" t="inlineStr">
        <is>
          <t>📦</t>
        </is>
      </c>
      <c r="C81" s="21" t="inlineStr">
        <is>
          <t>Inferlupa</t>
        </is>
      </c>
      <c r="D81" s="31" t="inlineStr">
        <is>
          <t>Feu, Ténèbres</t>
        </is>
      </c>
      <c r="E81" s="35" t="inlineStr">
        <is>
          <t>BREAK</t>
        </is>
      </c>
      <c r="F81" s="5" t="n">
        <v>89</v>
      </c>
      <c r="G81" s="5" t="n">
        <v>551</v>
      </c>
    </row>
    <row r="82">
      <c r="A82" s="66" t="inlineStr">
        <is>
          <t>Portage</t>
        </is>
      </c>
      <c r="B82" s="67" t="inlineStr">
        <is>
          <t>📦</t>
        </is>
      </c>
      <c r="C82" s="21" t="inlineStr">
        <is>
          <t>Emberpup</t>
        </is>
      </c>
      <c r="D82" s="31" t="inlineStr">
        <is>
          <t>Feu</t>
        </is>
      </c>
      <c r="E82" s="15" t="inlineStr">
        <is>
          <t>DPS</t>
        </is>
      </c>
      <c r="F82" s="5" t="n">
        <v>86</v>
      </c>
      <c r="G82" s="5" t="n">
        <v>371</v>
      </c>
    </row>
    <row r="83">
      <c r="A83" s="66" t="inlineStr">
        <is>
          <t>Portage</t>
        </is>
      </c>
      <c r="B83" s="67" t="inlineStr">
        <is>
          <t>📦</t>
        </is>
      </c>
      <c r="C83" s="21" t="inlineStr">
        <is>
          <t>Helgon</t>
        </is>
      </c>
      <c r="D83" s="7" t="inlineStr">
        <is>
          <t>Vent</t>
        </is>
      </c>
      <c r="E83" s="35" t="inlineStr">
        <is>
          <t>BREAK</t>
        </is>
      </c>
      <c r="F83" s="5" t="n">
        <v>85</v>
      </c>
      <c r="G83" s="5" t="n">
        <v>555</v>
      </c>
    </row>
    <row r="84">
      <c r="A84" s="66" t="inlineStr">
        <is>
          <t>Portage</t>
        </is>
      </c>
      <c r="B84" s="67" t="inlineStr">
        <is>
          <t>📦</t>
        </is>
      </c>
      <c r="C84" s="21" t="inlineStr">
        <is>
          <t>Pomawk</t>
        </is>
      </c>
      <c r="D84" s="27" t="inlineStr">
        <is>
          <t>Plante</t>
        </is>
      </c>
      <c r="E84" s="35" t="inlineStr">
        <is>
          <t>BREAK</t>
        </is>
      </c>
      <c r="F84" s="5" t="n">
        <v>85</v>
      </c>
      <c r="G84" s="5" t="n">
        <v>535</v>
      </c>
    </row>
    <row r="85">
      <c r="A85" s="66" t="inlineStr">
        <is>
          <t>Portage</t>
        </is>
      </c>
      <c r="B85" s="67" t="inlineStr">
        <is>
          <t>📦</t>
        </is>
      </c>
      <c r="C85" s="21" t="inlineStr">
        <is>
          <t>Lavazar</t>
        </is>
      </c>
      <c r="D85" s="31" t="inlineStr">
        <is>
          <t>Feu, Roche</t>
        </is>
      </c>
      <c r="E85" s="35" t="inlineStr">
        <is>
          <t>BREAK</t>
        </is>
      </c>
      <c r="F85" s="5" t="n">
        <v>82</v>
      </c>
      <c r="G85" s="5" t="n">
        <v>494</v>
      </c>
    </row>
    <row r="86">
      <c r="A86" s="66" t="inlineStr">
        <is>
          <t>Portage</t>
        </is>
      </c>
      <c r="B86" s="67" t="inlineStr">
        <is>
          <t>📦</t>
        </is>
      </c>
      <c r="C86" s="21" t="inlineStr">
        <is>
          <t>Geodeback</t>
        </is>
      </c>
      <c r="D86" s="22" t="inlineStr">
        <is>
          <t>Roche</t>
        </is>
      </c>
      <c r="E86" s="35" t="inlineStr">
        <is>
          <t>BREAK</t>
        </is>
      </c>
      <c r="F86" s="5" t="n">
        <v>81</v>
      </c>
      <c r="G86" s="5" t="n">
        <v>495</v>
      </c>
    </row>
    <row r="87">
      <c r="A87" s="66" t="inlineStr">
        <is>
          <t>Portage</t>
        </is>
      </c>
      <c r="B87" s="67" t="inlineStr">
        <is>
          <t>📦</t>
        </is>
      </c>
      <c r="C87" s="21" t="inlineStr">
        <is>
          <t>Pranky</t>
        </is>
      </c>
      <c r="D87" s="26" t="inlineStr">
        <is>
          <t>Eau</t>
        </is>
      </c>
      <c r="E87" s="34" t="inlineStr">
        <is>
          <t>HEAL</t>
        </is>
      </c>
      <c r="F87" s="5" t="n">
        <v>81</v>
      </c>
      <c r="G87" s="5" t="n">
        <v>468</v>
      </c>
    </row>
    <row r="88">
      <c r="A88" s="66" t="inlineStr">
        <is>
          <t>Portage</t>
        </is>
      </c>
      <c r="B88" s="67" t="inlineStr">
        <is>
          <t>📦</t>
        </is>
      </c>
      <c r="C88" s="21" t="inlineStr">
        <is>
          <t>Geoclaw</t>
        </is>
      </c>
      <c r="D88" s="23" t="inlineStr">
        <is>
          <t>Glace</t>
        </is>
      </c>
      <c r="E88" s="35" t="inlineStr">
        <is>
          <t>BREAK</t>
        </is>
      </c>
      <c r="F88" s="5" t="n">
        <v>80</v>
      </c>
      <c r="G88" s="5" t="n">
        <v>550</v>
      </c>
    </row>
    <row r="89">
      <c r="A89" s="66" t="inlineStr">
        <is>
          <t>Portage</t>
        </is>
      </c>
      <c r="B89" s="67" t="inlineStr">
        <is>
          <t>📦</t>
        </is>
      </c>
      <c r="C89" s="21" t="inlineStr">
        <is>
          <t>Coraliz</t>
        </is>
      </c>
      <c r="D89" s="22" t="inlineStr">
        <is>
          <t>Roche, Eau</t>
        </is>
      </c>
      <c r="E89" s="32" t="inlineStr">
        <is>
          <t>REGEN</t>
        </is>
      </c>
      <c r="F89" s="5" t="n">
        <v>78</v>
      </c>
      <c r="G89" s="5" t="n">
        <v>572</v>
      </c>
    </row>
    <row r="90">
      <c r="A90" s="66" t="inlineStr">
        <is>
          <t>Portage</t>
        </is>
      </c>
      <c r="B90" s="67" t="inlineStr">
        <is>
          <t>📦</t>
        </is>
      </c>
      <c r="C90" s="21" t="inlineStr">
        <is>
          <t>Cozite</t>
        </is>
      </c>
      <c r="D90" s="22" t="inlineStr">
        <is>
          <t>Roche</t>
        </is>
      </c>
      <c r="E90" s="8" t="inlineStr">
        <is>
          <t>SUPPORT</t>
        </is>
      </c>
      <c r="F90" s="5" t="n">
        <v>77</v>
      </c>
      <c r="G90" s="5" t="n">
        <v>438</v>
      </c>
    </row>
    <row r="91">
      <c r="A91" s="66" t="inlineStr">
        <is>
          <t>Portage</t>
        </is>
      </c>
      <c r="B91" s="67" t="inlineStr">
        <is>
          <t>📦</t>
        </is>
      </c>
      <c r="C91" s="21" t="inlineStr">
        <is>
          <t>Helmwhelp</t>
        </is>
      </c>
      <c r="D91" s="7" t="inlineStr">
        <is>
          <t>Vent</t>
        </is>
      </c>
      <c r="E91" s="35" t="inlineStr">
        <is>
          <t>BREAK</t>
        </is>
      </c>
      <c r="F91" s="5" t="n">
        <v>76</v>
      </c>
      <c r="G91" s="5" t="n">
        <v>500</v>
      </c>
    </row>
    <row r="92">
      <c r="A92" s="66" t="inlineStr">
        <is>
          <t>Portage</t>
        </is>
      </c>
      <c r="B92" s="67" t="inlineStr">
        <is>
          <t>📦</t>
        </is>
      </c>
      <c r="C92" s="21" t="inlineStr">
        <is>
          <t>Wavwal</t>
        </is>
      </c>
      <c r="D92" s="23" t="inlineStr">
        <is>
          <t>Glace</t>
        </is>
      </c>
      <c r="E92" s="35" t="inlineStr">
        <is>
          <t>BREAK</t>
        </is>
      </c>
      <c r="F92" s="5" t="n">
        <v>75</v>
      </c>
      <c r="G92" s="5" t="n">
        <v>575</v>
      </c>
    </row>
    <row r="93">
      <c r="A93" s="66" t="inlineStr">
        <is>
          <t>Portage</t>
        </is>
      </c>
      <c r="B93" s="67" t="inlineStr">
        <is>
          <t>📦</t>
        </is>
      </c>
      <c r="C93" s="21" t="inlineStr">
        <is>
          <t>Shrubclaw</t>
        </is>
      </c>
      <c r="D93" s="22" t="inlineStr">
        <is>
          <t>Roche, Plante</t>
        </is>
      </c>
      <c r="E93" s="35" t="inlineStr">
        <is>
          <t>BREAK</t>
        </is>
      </c>
      <c r="F93" s="5" t="n">
        <v>75</v>
      </c>
      <c r="G93" s="5" t="n">
        <v>535</v>
      </c>
    </row>
    <row r="94">
      <c r="A94" s="66" t="inlineStr">
        <is>
          <t>Portage</t>
        </is>
      </c>
      <c r="B94" s="67" t="inlineStr">
        <is>
          <t>📦</t>
        </is>
      </c>
      <c r="C94" s="21" t="inlineStr">
        <is>
          <t>Pomegg</t>
        </is>
      </c>
      <c r="D94" s="27" t="inlineStr">
        <is>
          <t>Plante</t>
        </is>
      </c>
      <c r="E94" s="35" t="inlineStr">
        <is>
          <t>BREAK</t>
        </is>
      </c>
      <c r="F94" s="5" t="n">
        <v>72</v>
      </c>
      <c r="G94" s="5" t="n">
        <v>455</v>
      </c>
    </row>
    <row r="95">
      <c r="A95" s="66" t="inlineStr">
        <is>
          <t>Portage</t>
        </is>
      </c>
      <c r="B95" s="67" t="inlineStr">
        <is>
          <t>📦</t>
        </is>
      </c>
      <c r="C95" s="21" t="inlineStr">
        <is>
          <t>Pebbling</t>
        </is>
      </c>
      <c r="D95" s="22" t="inlineStr">
        <is>
          <t>Roche</t>
        </is>
      </c>
      <c r="E95" s="35" t="inlineStr">
        <is>
          <t>BREAK</t>
        </is>
      </c>
      <c r="F95" s="5" t="n">
        <v>68</v>
      </c>
      <c r="G95" s="5" t="n">
        <v>412</v>
      </c>
    </row>
    <row r="96">
      <c r="A96" s="66" t="inlineStr">
        <is>
          <t>Portage</t>
        </is>
      </c>
      <c r="B96" s="67" t="inlineStr">
        <is>
          <t>📦</t>
        </is>
      </c>
      <c r="C96" s="21" t="inlineStr">
        <is>
          <t>Cheekie</t>
        </is>
      </c>
      <c r="D96" s="23" t="inlineStr">
        <is>
          <t>Glace</t>
        </is>
      </c>
      <c r="E96" s="35" t="inlineStr">
        <is>
          <t>BREAK</t>
        </is>
      </c>
      <c r="F96" s="5" t="n">
        <v>64</v>
      </c>
      <c r="G96" s="5" t="n">
        <v>488</v>
      </c>
    </row>
    <row r="97">
      <c r="A97" s="66" t="inlineStr">
        <is>
          <t>Portage</t>
        </is>
      </c>
      <c r="B97" s="67" t="inlineStr">
        <is>
          <t>📦</t>
        </is>
      </c>
      <c r="C97" s="21" t="inlineStr">
        <is>
          <t>Budclaw</t>
        </is>
      </c>
      <c r="D97" s="22" t="inlineStr">
        <is>
          <t>Roche, Plante</t>
        </is>
      </c>
      <c r="E97" s="35" t="inlineStr">
        <is>
          <t>BREAK</t>
        </is>
      </c>
      <c r="F97" s="5" t="n">
        <v>64</v>
      </c>
      <c r="G97" s="5" t="n">
        <v>454</v>
      </c>
    </row>
    <row r="98">
      <c r="A98" s="66" t="inlineStr">
        <is>
          <t>Portage</t>
        </is>
      </c>
      <c r="B98" s="67" t="inlineStr">
        <is>
          <t>📦</t>
        </is>
      </c>
      <c r="C98" s="21" t="inlineStr">
        <is>
          <t>Jawling</t>
        </is>
      </c>
      <c r="D98" s="7" t="inlineStr">
        <is>
          <t>Vent</t>
        </is>
      </c>
      <c r="E98" s="35" t="inlineStr">
        <is>
          <t>BREAK</t>
        </is>
      </c>
      <c r="F98" s="5" t="n">
        <v>64</v>
      </c>
      <c r="G98" s="5" t="n">
        <v>416</v>
      </c>
    </row>
    <row r="99">
      <c r="A99" s="66" t="inlineStr">
        <is>
          <t>Portage</t>
        </is>
      </c>
      <c r="B99" s="67" t="inlineStr">
        <is>
          <t>📦</t>
        </is>
      </c>
      <c r="C99" s="21" t="inlineStr">
        <is>
          <t>Skippy</t>
        </is>
      </c>
      <c r="D99" s="26" t="inlineStr">
        <is>
          <t>Eau</t>
        </is>
      </c>
      <c r="E99" s="34" t="inlineStr">
        <is>
          <t>HEAL</t>
        </is>
      </c>
      <c r="F99" s="5" t="n">
        <v>54</v>
      </c>
      <c r="G99" s="5" t="n">
        <v>332</v>
      </c>
    </row>
    <row r="100">
      <c r="A100" s="66" t="inlineStr">
        <is>
          <t>Portage</t>
        </is>
      </c>
      <c r="B100" s="67" t="inlineStr">
        <is>
          <t>📦</t>
        </is>
      </c>
      <c r="C100" s="21" t="inlineStr">
        <is>
          <t>Helmut</t>
        </is>
      </c>
      <c r="D100" s="18" t="inlineStr">
        <is>
          <t>Ténèbres</t>
        </is>
      </c>
      <c r="E100" s="35" t="inlineStr">
        <is>
          <t>BREAK</t>
        </is>
      </c>
      <c r="F100" s="5" t="n">
        <v>52</v>
      </c>
      <c r="G100" s="5" t="n">
        <v>339</v>
      </c>
    </row>
    <row r="101">
      <c r="A101" s="68" t="inlineStr">
        <is>
          <t>Aucun</t>
        </is>
      </c>
      <c r="B101" s="68" t="inlineStr">
        <is>
          <t>—</t>
        </is>
      </c>
      <c r="C101" s="21" t="inlineStr">
        <is>
          <t>Cornet</t>
        </is>
      </c>
      <c r="D101" s="7" t="inlineStr">
        <is>
          <t>Vent</t>
        </is>
      </c>
      <c r="E101" s="15" t="inlineStr">
        <is>
          <t>DPS</t>
        </is>
      </c>
      <c r="F101" s="5" t="n">
        <v>121</v>
      </c>
      <c r="G101" s="5" t="n">
        <v>489</v>
      </c>
    </row>
    <row r="102">
      <c r="A102" s="68" t="inlineStr">
        <is>
          <t>Aucun</t>
        </is>
      </c>
      <c r="B102" s="68" t="inlineStr">
        <is>
          <t>—</t>
        </is>
      </c>
      <c r="C102" s="21" t="inlineStr">
        <is>
          <t>Fennelun</t>
        </is>
      </c>
      <c r="D102" s="30" t="inlineStr">
        <is>
          <t>Lumière</t>
        </is>
      </c>
      <c r="E102" s="15" t="inlineStr">
        <is>
          <t>DPS</t>
        </is>
      </c>
      <c r="F102" s="5" t="n">
        <v>116</v>
      </c>
      <c r="G102" s="5" t="n">
        <v>504</v>
      </c>
    </row>
    <row r="103">
      <c r="A103" s="68" t="inlineStr">
        <is>
          <t>Aucun</t>
        </is>
      </c>
      <c r="B103" s="68" t="inlineStr">
        <is>
          <t>—</t>
        </is>
      </c>
      <c r="C103" s="21" t="inlineStr">
        <is>
          <t>Infergon</t>
        </is>
      </c>
      <c r="D103" s="31" t="inlineStr">
        <is>
          <t>Feu</t>
        </is>
      </c>
      <c r="E103" s="15" t="inlineStr">
        <is>
          <t>DPS</t>
        </is>
      </c>
      <c r="F103" s="5" t="n">
        <v>114</v>
      </c>
      <c r="G103" s="5" t="n">
        <v>536</v>
      </c>
    </row>
    <row r="104">
      <c r="A104" s="68" t="inlineStr">
        <is>
          <t>Aucun</t>
        </is>
      </c>
      <c r="B104" s="68" t="inlineStr">
        <is>
          <t>—</t>
        </is>
      </c>
      <c r="C104" s="21" t="inlineStr">
        <is>
          <t>Flamerion</t>
        </is>
      </c>
      <c r="D104" s="31" t="inlineStr">
        <is>
          <t>Feu</t>
        </is>
      </c>
      <c r="E104" s="32" t="inlineStr">
        <is>
          <t>REGEN</t>
        </is>
      </c>
      <c r="F104" s="5" t="n">
        <v>108</v>
      </c>
      <c r="G104" s="5" t="n">
        <v>502</v>
      </c>
    </row>
    <row r="105">
      <c r="A105" s="68" t="inlineStr">
        <is>
          <t>Aucun</t>
        </is>
      </c>
      <c r="B105" s="68" t="inlineStr">
        <is>
          <t>—</t>
        </is>
      </c>
      <c r="C105" s="21" t="inlineStr">
        <is>
          <t>Popapus</t>
        </is>
      </c>
      <c r="D105" s="26" t="inlineStr">
        <is>
          <t>Eau</t>
        </is>
      </c>
      <c r="E105" s="15" t="inlineStr">
        <is>
          <t>DPS</t>
        </is>
      </c>
      <c r="F105" s="5" t="n">
        <v>102</v>
      </c>
      <c r="G105" s="5" t="n">
        <v>450</v>
      </c>
    </row>
    <row r="106">
      <c r="A106" s="68" t="inlineStr">
        <is>
          <t>Aucun</t>
        </is>
      </c>
      <c r="B106" s="68" t="inlineStr">
        <is>
          <t>—</t>
        </is>
      </c>
      <c r="C106" s="21" t="inlineStr">
        <is>
          <t>Glameep</t>
        </is>
      </c>
      <c r="D106" s="27" t="inlineStr">
        <is>
          <t>Plante, Eau</t>
        </is>
      </c>
      <c r="E106" s="34" t="inlineStr">
        <is>
          <t>HEAL</t>
        </is>
      </c>
      <c r="F106" s="5" t="n">
        <v>100</v>
      </c>
      <c r="G106" s="5" t="n">
        <v>550</v>
      </c>
    </row>
    <row r="107">
      <c r="A107" s="68" t="inlineStr">
        <is>
          <t>Aucun</t>
        </is>
      </c>
      <c r="B107" s="68" t="inlineStr">
        <is>
          <t>—</t>
        </is>
      </c>
      <c r="C107" s="21" t="inlineStr">
        <is>
          <t>Sparki</t>
        </is>
      </c>
      <c r="D107" s="31" t="inlineStr">
        <is>
          <t>Feu</t>
        </is>
      </c>
      <c r="E107" s="32" t="inlineStr">
        <is>
          <t>REGEN</t>
        </is>
      </c>
      <c r="F107" s="5" t="n">
        <v>92</v>
      </c>
      <c r="G107" s="5" t="n">
        <v>426</v>
      </c>
    </row>
    <row r="108">
      <c r="A108" s="68" t="inlineStr">
        <is>
          <t>Aucun</t>
        </is>
      </c>
      <c r="B108" s="68" t="inlineStr">
        <is>
          <t>—</t>
        </is>
      </c>
      <c r="C108" s="21" t="inlineStr">
        <is>
          <t>Erlath</t>
        </is>
      </c>
      <c r="D108" s="26" t="inlineStr">
        <is>
          <t>Eau</t>
        </is>
      </c>
      <c r="E108" s="32" t="inlineStr">
        <is>
          <t>REGEN</t>
        </is>
      </c>
      <c r="F108" s="5" t="n">
        <v>90</v>
      </c>
      <c r="G108" s="5" t="n">
        <v>540</v>
      </c>
    </row>
    <row r="109">
      <c r="A109" s="68" t="inlineStr">
        <is>
          <t>Aucun</t>
        </is>
      </c>
      <c r="B109" s="68" t="inlineStr">
        <is>
          <t>—</t>
        </is>
      </c>
      <c r="C109" s="21" t="inlineStr">
        <is>
          <t>Tromber</t>
        </is>
      </c>
      <c r="D109" s="7" t="inlineStr">
        <is>
          <t>Vent</t>
        </is>
      </c>
      <c r="E109" s="8" t="inlineStr">
        <is>
          <t>SUPPORT</t>
        </is>
      </c>
      <c r="F109" s="5" t="n">
        <v>88</v>
      </c>
      <c r="G109" s="5" t="n">
        <v>522</v>
      </c>
    </row>
    <row r="110">
      <c r="A110" s="68" t="inlineStr">
        <is>
          <t>Aucun</t>
        </is>
      </c>
      <c r="B110" s="68" t="inlineStr">
        <is>
          <t>—</t>
        </is>
      </c>
      <c r="C110" s="21" t="inlineStr">
        <is>
          <t>Bubbeep</t>
        </is>
      </c>
      <c r="D110" s="27" t="inlineStr">
        <is>
          <t>Plante, Eau</t>
        </is>
      </c>
      <c r="E110" s="34" t="inlineStr">
        <is>
          <t>HEAL</t>
        </is>
      </c>
      <c r="F110" s="5" t="n">
        <v>85</v>
      </c>
      <c r="G110" s="5" t="n">
        <v>467</v>
      </c>
    </row>
    <row r="111">
      <c r="A111" s="68" t="inlineStr">
        <is>
          <t>Aucun</t>
        </is>
      </c>
      <c r="B111" s="68" t="inlineStr">
        <is>
          <t>—</t>
        </is>
      </c>
      <c r="C111" s="21" t="inlineStr">
        <is>
          <t>Fahloo</t>
        </is>
      </c>
      <c r="D111" s="26" t="inlineStr">
        <is>
          <t>Eau</t>
        </is>
      </c>
      <c r="E111" s="32" t="inlineStr">
        <is>
          <t>REGEN</t>
        </is>
      </c>
      <c r="F111" s="5" t="n">
        <v>76</v>
      </c>
      <c r="G111" s="5" t="n">
        <v>459</v>
      </c>
    </row>
    <row r="112">
      <c r="A112" s="68" t="inlineStr">
        <is>
          <t>Aucun</t>
        </is>
      </c>
      <c r="B112" s="68" t="inlineStr">
        <is>
          <t>—</t>
        </is>
      </c>
      <c r="C112" s="21" t="inlineStr">
        <is>
          <t>Tubster</t>
        </is>
      </c>
      <c r="D112" s="7" t="inlineStr">
        <is>
          <t>Vent</t>
        </is>
      </c>
      <c r="E112" s="35" t="inlineStr">
        <is>
          <t>BREAK</t>
        </is>
      </c>
      <c r="F112" s="5" t="n">
        <v>75</v>
      </c>
      <c r="G112" s="5" t="n">
        <v>535</v>
      </c>
    </row>
    <row r="113">
      <c r="A113" s="68" t="inlineStr">
        <is>
          <t>Aucun</t>
        </is>
      </c>
      <c r="B113" s="68" t="inlineStr">
        <is>
          <t>—</t>
        </is>
      </c>
      <c r="C113" s="21" t="inlineStr">
        <is>
          <t>Chirpi</t>
        </is>
      </c>
      <c r="D113" s="7" t="inlineStr">
        <is>
          <t>Vent</t>
        </is>
      </c>
      <c r="E113" s="8" t="inlineStr">
        <is>
          <t>SUPPORT</t>
        </is>
      </c>
      <c r="F113" s="5" t="n">
        <v>75</v>
      </c>
      <c r="G113" s="5" t="n">
        <v>443</v>
      </c>
    </row>
    <row r="114">
      <c r="A114" s="68" t="inlineStr">
        <is>
          <t>Aucun</t>
        </is>
      </c>
      <c r="B114" s="68" t="inlineStr">
        <is>
          <t>—</t>
        </is>
      </c>
      <c r="C114" s="21" t="inlineStr">
        <is>
          <t>Reefish</t>
        </is>
      </c>
      <c r="D114" s="22" t="inlineStr">
        <is>
          <t>Roche, Eau</t>
        </is>
      </c>
      <c r="E114" s="32" t="inlineStr">
        <is>
          <t>REGEN</t>
        </is>
      </c>
      <c r="F114" s="5" t="n">
        <v>66</v>
      </c>
      <c r="G114" s="5" t="n">
        <v>486</v>
      </c>
    </row>
    <row r="116" ht="26" customHeight="1">
      <c r="A116" s="36" t="inlineStr">
        <is>
          <t>« Niv. max » = niveau le plus élevé atteint par ce métier sur le roster actuel ; le jeu ne publie pas le niveau individuel de chaque Aniimo. Dewy et Fragrancier cumulent Loisir et Parfumerie (comptés dans les deux) et sont regroupés ici sous Parfumerie.</t>
        </is>
      </c>
    </row>
  </sheetData>
  <autoFilter ref="A20:G114"/>
  <mergeCells count="3">
    <mergeCell ref="A2:H2"/>
    <mergeCell ref="A116:H116"/>
    <mergeCell ref="A1:H1"/>
  </mergeCells>
  <conditionalFormatting sqref="F21:F1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20" customWidth="1" min="5" max="5"/>
    <col width="17" customWidth="1" min="6" max="6"/>
    <col width="12" customWidth="1" min="7" max="7"/>
    <col width="26" customWidth="1" min="8" max="8"/>
    <col width="26" customWidth="1" min="9" max="9"/>
    <col width="26" customWidth="1" min="10" max="10"/>
    <col width="58" customWidth="1" min="11" max="11"/>
    <col width="12" customWidth="1" min="12" max="12"/>
    <col width="8" customWidth="1" min="13" max="13"/>
    <col width="14" customWidth="1" min="14" max="14"/>
  </cols>
  <sheetData>
    <row r="1">
      <c r="A1" s="1" t="inlineStr">
        <is>
          <t>ANIIMO — Classement par puissance des compétences</t>
        </is>
      </c>
    </row>
    <row r="2">
      <c r="A2" s="2" t="inlineStr">
        <is>
          <t>Score = somme des 3 compétences les plus puissantes (valeur « Might » du jeu). La colonne Type indique si l'Aniimo tape en Physique ou en Magique. La puissance est indépendante de l'ATK : la colonne « Dégâts estimés » combine les deux.</t>
        </is>
      </c>
    </row>
    <row r="4" ht="34" customHeight="1">
      <c r="A4" s="3" t="inlineStr">
        <is>
          <t>Rang</t>
        </is>
      </c>
      <c r="B4" s="3" t="inlineStr">
        <is>
          <t>Icône</t>
        </is>
      </c>
      <c r="C4" s="3" t="inlineStr">
        <is>
          <t>Nom</t>
        </is>
      </c>
      <c r="D4" s="3" t="inlineStr">
        <is>
          <t>Élément(s)</t>
        </is>
      </c>
      <c r="E4" s="3" t="inlineStr">
        <is>
          <t>Rôle</t>
        </is>
      </c>
      <c r="F4" s="3" t="inlineStr">
        <is>
          <t>Type de dégâts</t>
        </is>
      </c>
      <c r="G4" s="3" t="inlineStr">
        <is>
          <t>Score (top 3)</t>
        </is>
      </c>
      <c r="H4" s="3" t="inlineStr">
        <is>
          <t>Compétence 1</t>
        </is>
      </c>
      <c r="I4" s="3" t="inlineStr">
        <is>
          <t>Compétence 2</t>
        </is>
      </c>
      <c r="J4" s="3" t="inlineStr">
        <is>
          <t>Compétence 3</t>
        </is>
      </c>
      <c r="K4" s="3" t="inlineStr">
        <is>
          <t>Compétence spéciale (trait passif)</t>
        </is>
      </c>
      <c r="L4" s="3" t="inlineStr">
        <is>
          <t>Meilleure puissance</t>
        </is>
      </c>
      <c r="M4" s="3" t="inlineStr">
        <is>
          <t>ATK</t>
        </is>
      </c>
      <c r="N4" s="3" t="inlineStr">
        <is>
          <t>Dégâts estimés (ATK × puissance)</t>
        </is>
      </c>
    </row>
    <row r="5" ht="26" customHeight="1">
      <c r="A5" s="4" t="n">
        <v>1</v>
      </c>
      <c r="B5" s="5" t="n"/>
      <c r="C5" s="6" t="inlineStr">
        <is>
          <t>Minespine</t>
        </is>
      </c>
      <c r="D5" s="22" t="inlineStr">
        <is>
          <t>Roche</t>
        </is>
      </c>
      <c r="E5" s="35" t="inlineStr">
        <is>
          <t>BREAK</t>
        </is>
      </c>
      <c r="F5" s="69" t="inlineStr">
        <is>
          <t>Physique</t>
        </is>
      </c>
      <c r="G5" s="58">
        <f>189+155+68</f>
        <v/>
      </c>
      <c r="H5" s="54" t="inlineStr">
        <is>
          <t>Meteors (189)</t>
        </is>
      </c>
      <c r="I5" s="54" t="inlineStr">
        <is>
          <t>Seismic Wave (155)</t>
        </is>
      </c>
      <c r="J5" s="54" t="inlineStr">
        <is>
          <t>Earth Spikes (68)</t>
        </is>
      </c>
      <c r="K5" s="70" t="inlineStr">
        <is>
          <t>Affinité terrestre — dégâts Roche renforcés</t>
        </is>
      </c>
      <c r="L5" s="5" t="n">
        <v>189</v>
      </c>
      <c r="M5" s="5" t="n">
        <v>90</v>
      </c>
      <c r="N5" s="5">
        <f>ROUND(M5*L5/100,0)</f>
        <v/>
      </c>
    </row>
    <row r="6" ht="26" customHeight="1">
      <c r="A6" s="12" t="n">
        <v>2</v>
      </c>
      <c r="B6" s="5" t="n"/>
      <c r="C6" s="13" t="inlineStr">
        <is>
          <t>Cornet</t>
        </is>
      </c>
      <c r="D6" s="7" t="inlineStr">
        <is>
          <t>Vent</t>
        </is>
      </c>
      <c r="E6" s="15" t="inlineStr">
        <is>
          <t>DPS</t>
        </is>
      </c>
      <c r="F6" s="71" t="inlineStr">
        <is>
          <t>Magique</t>
        </is>
      </c>
      <c r="G6" s="58">
        <f>179+157+59</f>
        <v/>
      </c>
      <c r="H6" s="54" t="inlineStr">
        <is>
          <t>Avian Harmony Ensemble (179)</t>
        </is>
      </c>
      <c r="I6" s="54" t="inlineStr">
        <is>
          <t>Wind Bomb Rush (157)</t>
        </is>
      </c>
      <c r="J6" s="54" t="inlineStr">
        <is>
          <t>Tornado (59)</t>
        </is>
      </c>
      <c r="K6" s="70" t="inlineStr">
        <is>
          <t>Chanteur principal — bonus de soutien sonore à l'équipe</t>
        </is>
      </c>
      <c r="L6" s="5" t="n">
        <v>179</v>
      </c>
      <c r="M6" s="5" t="n">
        <v>121</v>
      </c>
      <c r="N6" s="5">
        <f>ROUND(M6*L6/100,0)</f>
        <v/>
      </c>
    </row>
    <row r="7" ht="26" customHeight="1">
      <c r="A7" s="16" t="n">
        <v>3</v>
      </c>
      <c r="B7" s="5" t="n"/>
      <c r="C7" s="17" t="inlineStr">
        <is>
          <t>Pawney</t>
        </is>
      </c>
      <c r="D7" s="18" t="inlineStr">
        <is>
          <t>Ténèbres</t>
        </is>
      </c>
      <c r="E7" s="15" t="inlineStr">
        <is>
          <t>DPS</t>
        </is>
      </c>
      <c r="F7" s="69" t="inlineStr">
        <is>
          <t>Physique</t>
        </is>
      </c>
      <c r="G7" s="58">
        <f>220+85+62</f>
        <v/>
      </c>
      <c r="H7" s="54" t="inlineStr">
        <is>
          <t>Ironclad Armament (220)</t>
        </is>
      </c>
      <c r="I7" s="54" t="inlineStr">
        <is>
          <t>Shadow Cut (85)</t>
        </is>
      </c>
      <c r="J7" s="54" t="inlineStr">
        <is>
          <t>Elastic Sword (62)</t>
        </is>
      </c>
      <c r="K7" s="70" t="inlineStr">
        <is>
          <t>Passage à l'offensive — convertit la défense en attaque</t>
        </is>
      </c>
      <c r="L7" s="5" t="n">
        <v>220</v>
      </c>
      <c r="M7" s="5" t="n">
        <v>128</v>
      </c>
      <c r="N7" s="5">
        <f>ROUND(M7*L7/100,0)</f>
        <v/>
      </c>
    </row>
    <row r="8" ht="26" customHeight="1">
      <c r="A8" s="5" t="n">
        <v>4</v>
      </c>
      <c r="B8" s="5" t="n"/>
      <c r="C8" s="21" t="inlineStr">
        <is>
          <t>Grizbo</t>
        </is>
      </c>
      <c r="D8" s="22" t="inlineStr">
        <is>
          <t>Roche</t>
        </is>
      </c>
      <c r="E8" s="15" t="inlineStr">
        <is>
          <t>DPS</t>
        </is>
      </c>
      <c r="F8" s="69" t="inlineStr">
        <is>
          <t>Physique</t>
        </is>
      </c>
      <c r="G8" s="58">
        <f>227+76+53</f>
        <v/>
      </c>
      <c r="H8" s="54" t="inlineStr">
        <is>
          <t>Rock Smash (227)</t>
        </is>
      </c>
      <c r="I8" s="54" t="inlineStr">
        <is>
          <t>Critical Hit (76)</t>
        </is>
      </c>
      <c r="J8" s="54" t="inlineStr">
        <is>
          <t>Earthquake (53)</t>
        </is>
      </c>
      <c r="K8" s="70" t="inlineStr">
        <is>
          <t>Résurrection enragée — se relève avec un bonus d'attaque</t>
        </is>
      </c>
      <c r="L8" s="5" t="n">
        <v>227</v>
      </c>
      <c r="M8" s="5" t="n">
        <v>126</v>
      </c>
      <c r="N8" s="5">
        <f>ROUND(M8*L8/100,0)</f>
        <v/>
      </c>
    </row>
    <row r="9" ht="26" customHeight="1">
      <c r="A9" s="5" t="n">
        <v>5</v>
      </c>
      <c r="B9" s="5" t="n"/>
      <c r="C9" s="21" t="inlineStr">
        <is>
          <t>Irisal</t>
        </is>
      </c>
      <c r="D9" s="27" t="inlineStr">
        <is>
          <t>Plante</t>
        </is>
      </c>
      <c r="E9" s="15" t="inlineStr">
        <is>
          <t>DPS</t>
        </is>
      </c>
      <c r="F9" s="71" t="inlineStr">
        <is>
          <t>Magique</t>
        </is>
      </c>
      <c r="G9" s="58">
        <f>187+120+46</f>
        <v/>
      </c>
      <c r="H9" s="54" t="inlineStr">
        <is>
          <t>Dancing Petals (187)</t>
        </is>
      </c>
      <c r="I9" s="54" t="inlineStr">
        <is>
          <t>Focused Beam (120)</t>
        </is>
      </c>
      <c r="J9" s="54" t="inlineStr">
        <is>
          <t>Vortex of Petals (46)</t>
        </is>
      </c>
      <c r="K9" s="70" t="inlineStr">
        <is>
          <t>Aniimo disco — bonus lié à la danse</t>
        </is>
      </c>
      <c r="L9" s="5" t="n">
        <v>187</v>
      </c>
      <c r="M9" s="5" t="n">
        <v>116</v>
      </c>
      <c r="N9" s="5">
        <f>ROUND(M9*L9/100,0)</f>
        <v/>
      </c>
    </row>
    <row r="10" ht="26" customHeight="1">
      <c r="A10" s="5" t="n">
        <v>6</v>
      </c>
      <c r="B10" s="5" t="n"/>
      <c r="C10" s="21" t="inlineStr">
        <is>
          <t>Gachapus</t>
        </is>
      </c>
      <c r="D10" s="26" t="inlineStr">
        <is>
          <t>Eau</t>
        </is>
      </c>
      <c r="E10" s="15" t="inlineStr">
        <is>
          <t>DPS</t>
        </is>
      </c>
      <c r="F10" s="71" t="inlineStr">
        <is>
          <t>Magique</t>
        </is>
      </c>
      <c r="G10" s="58">
        <f>183+124+43</f>
        <v/>
      </c>
      <c r="H10" s="54" t="inlineStr">
        <is>
          <t>Super Jackpot (183)</t>
        </is>
      </c>
      <c r="I10" s="54" t="inlineStr">
        <is>
          <t>Clearance Sale (124)</t>
        </is>
      </c>
      <c r="J10" s="54" t="inlineStr">
        <is>
          <t>Enhanced Bubble (43)</t>
        </is>
      </c>
      <c r="K10" s="70" t="inlineStr">
        <is>
          <t>Gachapon — effets aléatoires puissants</t>
        </is>
      </c>
      <c r="L10" s="5" t="n">
        <v>183</v>
      </c>
      <c r="M10" s="5" t="n">
        <v>121</v>
      </c>
      <c r="N10" s="5">
        <f>ROUND(M10*L10/100,0)</f>
        <v/>
      </c>
    </row>
    <row r="11" ht="26" customHeight="1">
      <c r="A11" s="5" t="n">
        <v>7</v>
      </c>
      <c r="B11" s="5" t="n"/>
      <c r="C11" s="21" t="inlineStr">
        <is>
          <t>Scorchhowl</t>
        </is>
      </c>
      <c r="D11" s="31" t="inlineStr">
        <is>
          <t>Feu</t>
        </is>
      </c>
      <c r="E11" s="15" t="inlineStr">
        <is>
          <t>DPS</t>
        </is>
      </c>
      <c r="F11" s="69" t="inlineStr">
        <is>
          <t>Physique</t>
        </is>
      </c>
      <c r="G11" s="58">
        <f>170+88+72</f>
        <v/>
      </c>
      <c r="H11" s="54" t="inlineStr">
        <is>
          <t>Falling Star (170)</t>
        </is>
      </c>
      <c r="I11" s="54" t="inlineStr">
        <is>
          <t>Burn Breaker (88)</t>
        </is>
      </c>
      <c r="J11" s="54" t="inlineStr">
        <is>
          <t>Fire Kick (72)</t>
        </is>
      </c>
      <c r="K11" s="70" t="inlineStr">
        <is>
          <t>Flammes ardentes — +15% de dégâts sur les cibles ayant 5 cumuls de brûlure</t>
        </is>
      </c>
      <c r="L11" s="5" t="n">
        <v>170</v>
      </c>
      <c r="M11" s="5" t="n">
        <v>115</v>
      </c>
      <c r="N11" s="5">
        <f>ROUND(M11*L11/100,0)</f>
        <v/>
      </c>
    </row>
    <row r="12" ht="26" customHeight="1">
      <c r="A12" s="5" t="n">
        <v>8</v>
      </c>
      <c r="B12" s="5" t="n"/>
      <c r="C12" s="21" t="inlineStr">
        <is>
          <t>Waleetle</t>
        </is>
      </c>
      <c r="D12" s="22" t="inlineStr">
        <is>
          <t>Roche</t>
        </is>
      </c>
      <c r="E12" s="15" t="inlineStr">
        <is>
          <t>DPS</t>
        </is>
      </c>
      <c r="F12" s="69" t="inlineStr">
        <is>
          <t>Physique</t>
        </is>
      </c>
      <c r="G12" s="58">
        <f>195+67+67</f>
        <v/>
      </c>
      <c r="H12" s="54" t="inlineStr">
        <is>
          <t>Rock Ball Blast (195)</t>
        </is>
      </c>
      <c r="I12" s="54" t="inlineStr">
        <is>
          <t>Stone Ball Cutter (67)</t>
        </is>
      </c>
      <c r="J12" s="54" t="inlineStr">
        <is>
          <t>Ice Ball Cutting (67)</t>
        </is>
      </c>
      <c r="K12" s="70" t="inlineStr">
        <is>
          <t>Moteur surchargé — dégâts de charge accrus</t>
        </is>
      </c>
      <c r="L12" s="5" t="n">
        <v>195</v>
      </c>
      <c r="M12" s="5" t="n">
        <v>120</v>
      </c>
      <c r="N12" s="5">
        <f>ROUND(M12*L12/100,0)</f>
        <v/>
      </c>
    </row>
    <row r="13" ht="26" customHeight="1">
      <c r="A13" s="5" t="n">
        <v>9</v>
      </c>
      <c r="B13" s="5" t="n"/>
      <c r="C13" s="21" t="inlineStr">
        <is>
          <t>Inferlupa</t>
        </is>
      </c>
      <c r="D13" s="31" t="inlineStr">
        <is>
          <t>Feu, Ténèbres</t>
        </is>
      </c>
      <c r="E13" s="35" t="inlineStr">
        <is>
          <t>BREAK</t>
        </is>
      </c>
      <c r="F13" s="69" t="inlineStr">
        <is>
          <t>Physique</t>
        </is>
      </c>
      <c r="G13" s="58">
        <f>194+65+60</f>
        <v/>
      </c>
      <c r="H13" s="54" t="inlineStr">
        <is>
          <t>Wolfpack Onslaught (194)</t>
        </is>
      </c>
      <c r="I13" s="54" t="inlineStr">
        <is>
          <t>Crossfire (65)</t>
        </is>
      </c>
      <c r="J13" s="54" t="inlineStr">
        <is>
          <t>Unbroken Flameruff Spirit (60)</t>
        </is>
      </c>
      <c r="K13" s="70" t="inlineStr">
        <is>
          <t>Frappe préventive — prend l'initiative au début du combat</t>
        </is>
      </c>
      <c r="L13" s="5" t="n">
        <v>194</v>
      </c>
      <c r="M13" s="5" t="n">
        <v>89</v>
      </c>
      <c r="N13" s="5">
        <f>ROUND(M13*L13/100,0)</f>
        <v/>
      </c>
    </row>
    <row r="14" ht="26" customHeight="1">
      <c r="A14" s="5" t="n">
        <v>10</v>
      </c>
      <c r="B14" s="5" t="n"/>
      <c r="C14" s="21" t="inlineStr">
        <is>
          <t>Shrubclaw</t>
        </is>
      </c>
      <c r="D14" s="22" t="inlineStr">
        <is>
          <t>Roche, Plante</t>
        </is>
      </c>
      <c r="E14" s="35" t="inlineStr">
        <is>
          <t>BREAK</t>
        </is>
      </c>
      <c r="F14" s="71" t="inlineStr">
        <is>
          <t>Magique</t>
        </is>
      </c>
      <c r="G14" s="58">
        <f>173+75+66</f>
        <v/>
      </c>
      <c r="H14" s="54" t="inlineStr">
        <is>
          <t>Quake Impact (173)</t>
        </is>
      </c>
      <c r="I14" s="54" t="inlineStr">
        <is>
          <t>Charged Strike (75)</t>
        </is>
      </c>
      <c r="J14" s="54" t="inlineStr">
        <is>
          <t>Verdant Beam (66)</t>
        </is>
      </c>
      <c r="K14" s="70" t="inlineStr">
        <is>
          <t>Dormance — régénère hors combat</t>
        </is>
      </c>
      <c r="L14" s="5" t="n">
        <v>173</v>
      </c>
      <c r="M14" s="5" t="n">
        <v>75</v>
      </c>
      <c r="N14" s="5">
        <f>ROUND(M14*L14/100,0)</f>
        <v/>
      </c>
    </row>
    <row r="15" ht="26" customHeight="1">
      <c r="A15" s="5" t="n">
        <v>11</v>
      </c>
      <c r="B15" s="5" t="n"/>
      <c r="C15" s="21" t="inlineStr">
        <is>
          <t>Stellarys</t>
        </is>
      </c>
      <c r="D15" s="18" t="inlineStr">
        <is>
          <t>Ténèbres</t>
        </is>
      </c>
      <c r="E15" s="15" t="inlineStr">
        <is>
          <t>DPS</t>
        </is>
      </c>
      <c r="F15" s="71" t="inlineStr">
        <is>
          <t>Magique</t>
        </is>
      </c>
      <c r="G15" s="58">
        <f>166+74+74</f>
        <v/>
      </c>
      <c r="H15" s="54" t="inlineStr">
        <is>
          <t>Comet Aureus (166)</t>
        </is>
      </c>
      <c r="I15" s="54" t="inlineStr">
        <is>
          <t>Chill Glide (74)</t>
        </is>
      </c>
      <c r="J15" s="54" t="inlineStr">
        <is>
          <t>Shooting Star Glide (74)</t>
        </is>
      </c>
      <c r="K15" s="70" t="inlineStr">
        <is>
          <t>Grand sorcier — après 5 s d'incantation, les attaques normales gagnent des dégâts bonus</t>
        </is>
      </c>
      <c r="L15" s="5" t="n">
        <v>166</v>
      </c>
      <c r="M15" s="5" t="n">
        <v>125</v>
      </c>
      <c r="N15" s="5">
        <f>ROUND(M15*L15/100,0)</f>
        <v/>
      </c>
    </row>
    <row r="16" ht="26" customHeight="1">
      <c r="A16" s="5" t="n">
        <v>12</v>
      </c>
      <c r="B16" s="5" t="n"/>
      <c r="C16" s="21" t="inlineStr">
        <is>
          <t>Helgon</t>
        </is>
      </c>
      <c r="D16" s="7" t="inlineStr">
        <is>
          <t>Vent</t>
        </is>
      </c>
      <c r="E16" s="35" t="inlineStr">
        <is>
          <t>BREAK</t>
        </is>
      </c>
      <c r="F16" s="69" t="inlineStr">
        <is>
          <t>Physique</t>
        </is>
      </c>
      <c r="G16" s="58">
        <f>175+69+68</f>
        <v/>
      </c>
      <c r="H16" s="54" t="inlineStr">
        <is>
          <t>Skyfall (175)</t>
        </is>
      </c>
      <c r="I16" s="54" t="inlineStr">
        <is>
          <t>Wind Counter (69)</t>
        </is>
      </c>
      <c r="J16" s="54" t="inlineStr">
        <is>
          <t>Overcharged Claw Strike (68)</t>
        </is>
      </c>
      <c r="K16" s="70" t="inlineStr">
        <is>
          <t>Offensive intense — enchaînements renforcés</t>
        </is>
      </c>
      <c r="L16" s="5" t="n">
        <v>175</v>
      </c>
      <c r="M16" s="5" t="n">
        <v>85</v>
      </c>
      <c r="N16" s="5">
        <f>ROUND(M16*L16/100,0)</f>
        <v/>
      </c>
    </row>
    <row r="17" ht="26" customHeight="1">
      <c r="A17" s="5" t="n">
        <v>13</v>
      </c>
      <c r="B17" s="5" t="n"/>
      <c r="C17" s="21" t="inlineStr">
        <is>
          <t>Thornblade</t>
        </is>
      </c>
      <c r="D17" s="27" t="inlineStr">
        <is>
          <t>Plante</t>
        </is>
      </c>
      <c r="E17" s="15" t="inlineStr">
        <is>
          <t>DPS</t>
        </is>
      </c>
      <c r="F17" s="69" t="inlineStr">
        <is>
          <t>Physique</t>
        </is>
      </c>
      <c r="G17" s="58">
        <f>172+75+57</f>
        <v/>
      </c>
      <c r="H17" s="54" t="inlineStr">
        <is>
          <t>Elegant Waltz (172)</t>
        </is>
      </c>
      <c r="I17" s="54" t="inlineStr">
        <is>
          <t>Thorny Defense (75)</t>
        </is>
      </c>
      <c r="J17" s="54" t="inlineStr">
        <is>
          <t>Thorny Impact (57)</t>
        </is>
      </c>
      <c r="K17" s="70" t="inlineStr">
        <is>
          <t>Cœur d'épines — renvoie une partie des dégâts</t>
        </is>
      </c>
      <c r="L17" s="5" t="n">
        <v>172</v>
      </c>
      <c r="M17" s="5" t="n">
        <v>121</v>
      </c>
      <c r="N17" s="5">
        <f>ROUND(M17*L17/100,0)</f>
        <v/>
      </c>
    </row>
    <row r="18" ht="26" customHeight="1">
      <c r="A18" s="5" t="n">
        <v>14</v>
      </c>
      <c r="B18" s="5" t="n"/>
      <c r="C18" s="21" t="inlineStr">
        <is>
          <t>Sherro</t>
        </is>
      </c>
      <c r="D18" s="26" t="inlineStr">
        <is>
          <t>Eau</t>
        </is>
      </c>
      <c r="E18" s="15" t="inlineStr">
        <is>
          <t>DPS</t>
        </is>
      </c>
      <c r="F18" s="69" t="inlineStr">
        <is>
          <t>Physique</t>
        </is>
      </c>
      <c r="G18" s="58">
        <f>160+83+61</f>
        <v/>
      </c>
      <c r="H18" s="54" t="inlineStr">
        <is>
          <t>Torrent Blade (160)</t>
        </is>
      </c>
      <c r="I18" s="54" t="inlineStr">
        <is>
          <t>Hydro Roll (83)</t>
        </is>
      </c>
      <c r="J18" s="54" t="inlineStr">
        <is>
          <t>Flowing Water Slash (61)</t>
        </is>
      </c>
      <c r="K18" s="70" t="inlineStr">
        <is>
          <t>Maîtrise de l'eau — dégâts Eau renforcés</t>
        </is>
      </c>
      <c r="L18" s="5" t="n">
        <v>160</v>
      </c>
      <c r="M18" s="5" t="n">
        <v>121</v>
      </c>
      <c r="N18" s="5">
        <f>ROUND(M18*L18/100,0)</f>
        <v/>
      </c>
    </row>
    <row r="19" ht="26" customHeight="1">
      <c r="A19" s="5" t="n">
        <v>15</v>
      </c>
      <c r="B19" s="5" t="n"/>
      <c r="C19" s="21" t="inlineStr">
        <is>
          <t>Rookey</t>
        </is>
      </c>
      <c r="D19" s="18" t="inlineStr">
        <is>
          <t>Ténèbres</t>
        </is>
      </c>
      <c r="E19" s="35" t="inlineStr">
        <is>
          <t>BREAK</t>
        </is>
      </c>
      <c r="F19" s="69" t="inlineStr">
        <is>
          <t>Physique</t>
        </is>
      </c>
      <c r="G19" s="58">
        <f>196+55+52</f>
        <v/>
      </c>
      <c r="H19" s="54" t="inlineStr">
        <is>
          <t>Heavy Slam (196)</t>
        </is>
      </c>
      <c r="I19" s="54" t="inlineStr">
        <is>
          <t>Bouncy Sling (55)</t>
        </is>
      </c>
      <c r="J19" s="54" t="inlineStr">
        <is>
          <t>Ballistic Guard (52)</t>
        </is>
      </c>
      <c r="K19" s="70" t="inlineStr">
        <is>
          <t>Corps dur — gagne un bonus de BREAK égal à 10% de la DÉF. Phys.</t>
        </is>
      </c>
      <c r="L19" s="5" t="n">
        <v>196</v>
      </c>
      <c r="M19" s="5" t="n">
        <v>92</v>
      </c>
      <c r="N19" s="5">
        <f>ROUND(M19*L19/100,0)</f>
        <v/>
      </c>
    </row>
    <row r="20" ht="26" customHeight="1">
      <c r="A20" s="5" t="n">
        <v>16</v>
      </c>
      <c r="B20" s="5" t="n"/>
      <c r="C20" s="21" t="inlineStr">
        <is>
          <t>Geoclaw</t>
        </is>
      </c>
      <c r="D20" s="23" t="inlineStr">
        <is>
          <t>Glace</t>
        </is>
      </c>
      <c r="E20" s="35" t="inlineStr">
        <is>
          <t>BREAK</t>
        </is>
      </c>
      <c r="F20" s="69" t="inlineStr">
        <is>
          <t>Physique</t>
        </is>
      </c>
      <c r="G20" s="58">
        <f>173+67+60</f>
        <v/>
      </c>
      <c r="H20" s="54" t="inlineStr">
        <is>
          <t>Freezing Claws (173)</t>
        </is>
      </c>
      <c r="I20" s="54" t="inlineStr">
        <is>
          <t>Icy Gravel Dance (67)</t>
        </is>
      </c>
      <c r="J20" s="54" t="inlineStr">
        <is>
          <t>Ice Spikes (60)</t>
        </is>
      </c>
      <c r="K20" s="70" t="inlineStr">
        <is>
          <t>Armure givrée — érode la défense des cibles gelées</t>
        </is>
      </c>
      <c r="L20" s="5" t="n">
        <v>173</v>
      </c>
      <c r="M20" s="5" t="n">
        <v>80</v>
      </c>
      <c r="N20" s="5">
        <f>ROUND(M20*L20/100,0)</f>
        <v/>
      </c>
    </row>
    <row r="21" ht="26" customHeight="1">
      <c r="A21" s="5" t="n">
        <v>17</v>
      </c>
      <c r="B21" s="5" t="n"/>
      <c r="C21" s="21" t="inlineStr">
        <is>
          <t>Witchin</t>
        </is>
      </c>
      <c r="D21" s="18" t="inlineStr">
        <is>
          <t>Ténèbres, Plante</t>
        </is>
      </c>
      <c r="E21" s="32" t="inlineStr">
        <is>
          <t>REGEN</t>
        </is>
      </c>
      <c r="F21" s="71" t="inlineStr">
        <is>
          <t>Magique</t>
        </is>
      </c>
      <c r="G21" s="58">
        <f>164+68+68</f>
        <v/>
      </c>
      <c r="H21" s="54" t="inlineStr">
        <is>
          <t>Annihilation Bomb (164)</t>
        </is>
      </c>
      <c r="I21" s="54" t="inlineStr">
        <is>
          <t>Malice Burst (68)</t>
        </is>
      </c>
      <c r="J21" s="54" t="inlineStr">
        <is>
          <t>Oozing Malice (68)</t>
        </is>
      </c>
      <c r="K21" s="70" t="inlineStr">
        <is>
          <t>Dissuasion — réduit l'agressivité des ennemis</t>
        </is>
      </c>
      <c r="L21" s="5" t="n">
        <v>164</v>
      </c>
      <c r="M21" s="5" t="n">
        <v>80</v>
      </c>
      <c r="N21" s="5">
        <f>ROUND(M21*L21/100,0)</f>
        <v/>
      </c>
    </row>
    <row r="22" ht="26" customHeight="1">
      <c r="A22" s="5" t="n">
        <v>18</v>
      </c>
      <c r="B22" s="5" t="n"/>
      <c r="C22" s="21" t="inlineStr">
        <is>
          <t>Pomawk</t>
        </is>
      </c>
      <c r="D22" s="27" t="inlineStr">
        <is>
          <t>Plante</t>
        </is>
      </c>
      <c r="E22" s="35" t="inlineStr">
        <is>
          <t>BREAK</t>
        </is>
      </c>
      <c r="F22" s="69" t="inlineStr">
        <is>
          <t>Physique</t>
        </is>
      </c>
      <c r="G22" s="58">
        <f>176+70+45</f>
        <v/>
      </c>
      <c r="H22" s="54" t="inlineStr">
        <is>
          <t>Sonic Boom (176)</t>
        </is>
      </c>
      <c r="I22" s="54" t="inlineStr">
        <is>
          <t>Wild Show (70)</t>
        </is>
      </c>
      <c r="J22" s="54" t="inlineStr">
        <is>
          <t>Frost Strike (45)</t>
        </is>
      </c>
      <c r="K22" s="70" t="inlineStr">
        <is>
          <t>Accordage — synergie rythmique</t>
        </is>
      </c>
      <c r="L22" s="5" t="n">
        <v>176</v>
      </c>
      <c r="M22" s="5" t="n">
        <v>85</v>
      </c>
      <c r="N22" s="5">
        <f>ROUND(M22*L22/100,0)</f>
        <v/>
      </c>
    </row>
    <row r="23" ht="26" customHeight="1">
      <c r="A23" s="5" t="n">
        <v>19</v>
      </c>
      <c r="B23" s="5" t="n"/>
      <c r="C23" s="21" t="inlineStr">
        <is>
          <t>Ignitis</t>
        </is>
      </c>
      <c r="D23" s="18" t="inlineStr">
        <is>
          <t>Ténèbres</t>
        </is>
      </c>
      <c r="E23" s="15" t="inlineStr">
        <is>
          <t>DPS</t>
        </is>
      </c>
      <c r="F23" s="69" t="inlineStr">
        <is>
          <t>Physique</t>
        </is>
      </c>
      <c r="G23" s="58">
        <f>170+60+60</f>
        <v/>
      </c>
      <c r="H23" s="54" t="inlineStr">
        <is>
          <t>Dimension Rupture (170)</t>
        </is>
      </c>
      <c r="I23" s="54" t="inlineStr">
        <is>
          <t>Scythe Dance (60)</t>
        </is>
      </c>
      <c r="J23" s="54" t="inlineStr">
        <is>
          <t>Forest Whirl (60)</t>
        </is>
      </c>
      <c r="K23" s="70" t="inlineStr">
        <is>
          <t>Embuscade — dégâts accrus en sortie de furtivité</t>
        </is>
      </c>
      <c r="L23" s="5" t="n">
        <v>170</v>
      </c>
      <c r="M23" s="5" t="n">
        <v>128</v>
      </c>
      <c r="N23" s="5">
        <f>ROUND(M23*L23/100,0)</f>
        <v/>
      </c>
    </row>
    <row r="24" ht="26" customHeight="1">
      <c r="A24" s="5" t="n">
        <v>20</v>
      </c>
      <c r="B24" s="5" t="n"/>
      <c r="C24" s="21" t="inlineStr">
        <is>
          <t>Glynsera</t>
        </is>
      </c>
      <c r="D24" s="23" t="inlineStr">
        <is>
          <t>Glace</t>
        </is>
      </c>
      <c r="E24" s="15" t="inlineStr">
        <is>
          <t>DPS</t>
        </is>
      </c>
      <c r="F24" s="69" t="inlineStr">
        <is>
          <t>Physique</t>
        </is>
      </c>
      <c r="G24" s="58">
        <f>155+75+60</f>
        <v/>
      </c>
      <c r="H24" s="54" t="inlineStr">
        <is>
          <t>Ice Tornado (155)</t>
        </is>
      </c>
      <c r="I24" s="54" t="inlineStr">
        <is>
          <t>Prismana Slash (75)</t>
        </is>
      </c>
      <c r="J24" s="54" t="inlineStr">
        <is>
          <t>Frost Tail Strike (60)</t>
        </is>
      </c>
      <c r="K24" s="70" t="inlineStr">
        <is>
          <t>Adrénaline — vitesse d'attaque accrue à bas PV</t>
        </is>
      </c>
      <c r="L24" s="5" t="n">
        <v>155</v>
      </c>
      <c r="M24" s="5" t="n">
        <v>117</v>
      </c>
      <c r="N24" s="5">
        <f>ROUND(M24*L24/100,0)</f>
        <v/>
      </c>
    </row>
    <row r="25" ht="26" customHeight="1">
      <c r="A25" s="5" t="n">
        <v>21</v>
      </c>
      <c r="B25" s="5" t="n"/>
      <c r="C25" s="21" t="inlineStr">
        <is>
          <t>Helion</t>
        </is>
      </c>
      <c r="D25" s="30" t="inlineStr">
        <is>
          <t>Lumière</t>
        </is>
      </c>
      <c r="E25" s="15" t="inlineStr">
        <is>
          <t>DPS</t>
        </is>
      </c>
      <c r="F25" s="71" t="inlineStr">
        <is>
          <t>Magique (déduit)</t>
        </is>
      </c>
      <c r="G25" s="58">
        <f>167+62+60</f>
        <v/>
      </c>
      <c r="H25" s="54" t="inlineStr">
        <is>
          <t>Helios' Judgment (167)</t>
        </is>
      </c>
      <c r="I25" s="54" t="inlineStr">
        <is>
          <t>Light Bombardment (62)</t>
        </is>
      </c>
      <c r="J25" s="54" t="inlineStr">
        <is>
          <t>Holy Storm (60)</t>
        </is>
      </c>
      <c r="K25" s="70" t="inlineStr">
        <is>
          <t>Grâce solaire — puissance du Soleil</t>
        </is>
      </c>
      <c r="L25" s="5" t="n">
        <v>167</v>
      </c>
      <c r="M25" s="5" t="n">
        <v>116</v>
      </c>
      <c r="N25" s="5">
        <f>ROUND(M25*L25/100,0)</f>
        <v/>
      </c>
    </row>
    <row r="26" ht="26" customHeight="1">
      <c r="A26" s="5" t="n">
        <v>22</v>
      </c>
      <c r="B26" s="5" t="n"/>
      <c r="C26" s="21" t="inlineStr">
        <is>
          <t>Dazmand</t>
        </is>
      </c>
      <c r="D26" s="14" t="inlineStr">
        <is>
          <t>Foudre</t>
        </is>
      </c>
      <c r="E26" s="8" t="inlineStr">
        <is>
          <t>SUPPORT</t>
        </is>
      </c>
      <c r="F26" s="69" t="inlineStr">
        <is>
          <t>Physique</t>
        </is>
      </c>
      <c r="G26" s="58">
        <f>150+80+54</f>
        <v/>
      </c>
      <c r="H26" s="54" t="inlineStr">
        <is>
          <t>Lightning Storm (150)</t>
        </is>
      </c>
      <c r="I26" s="54" t="inlineStr">
        <is>
          <t>Thunder Sweep (80)</t>
        </is>
      </c>
      <c r="J26" s="54" t="inlineStr">
        <is>
          <t>Lightning Break (54)</t>
        </is>
      </c>
      <c r="K26" s="70" t="inlineStr">
        <is>
          <t>Surtensions — +12% de dégâts Foudre (équipe)</t>
        </is>
      </c>
      <c r="L26" s="5" t="n">
        <v>150</v>
      </c>
      <c r="M26" s="5" t="n">
        <v>108</v>
      </c>
      <c r="N26" s="5">
        <f>ROUND(M26*L26/100,0)</f>
        <v/>
      </c>
    </row>
    <row r="27" ht="26" customHeight="1">
      <c r="A27" s="5" t="n">
        <v>23</v>
      </c>
      <c r="B27" s="5" t="n"/>
      <c r="C27" s="21" t="inlineStr">
        <is>
          <t>Fennelun</t>
        </is>
      </c>
      <c r="D27" s="30" t="inlineStr">
        <is>
          <t>Lumière</t>
        </is>
      </c>
      <c r="E27" s="15" t="inlineStr">
        <is>
          <t>DPS</t>
        </is>
      </c>
      <c r="F27" s="71" t="inlineStr">
        <is>
          <t>Magique (déduit)</t>
        </is>
      </c>
      <c r="G27" s="58">
        <f>167+60+55</f>
        <v/>
      </c>
      <c r="H27" s="54" t="inlineStr">
        <is>
          <t>Selene's Judgment (167)</t>
        </is>
      </c>
      <c r="I27" s="54" t="inlineStr">
        <is>
          <t>Lunar Eclipse (60)</t>
        </is>
      </c>
      <c r="J27" s="54" t="inlineStr">
        <is>
          <t>Lumin Bolts (55)</t>
        </is>
      </c>
      <c r="K27" s="70" t="inlineStr">
        <is>
          <t>Pouvoir lunaire — puissance de la Lune</t>
        </is>
      </c>
      <c r="L27" s="5" t="n">
        <v>167</v>
      </c>
      <c r="M27" s="5" t="n">
        <v>116</v>
      </c>
      <c r="N27" s="5">
        <f>ROUND(M27*L27/100,0)</f>
        <v/>
      </c>
    </row>
    <row r="28" ht="26" customHeight="1">
      <c r="A28" s="5" t="n">
        <v>24</v>
      </c>
      <c r="B28" s="5" t="n"/>
      <c r="C28" s="21" t="inlineStr">
        <is>
          <t>Infergon</t>
        </is>
      </c>
      <c r="D28" s="31" t="inlineStr">
        <is>
          <t>Feu</t>
        </is>
      </c>
      <c r="E28" s="15" t="inlineStr">
        <is>
          <t>DPS</t>
        </is>
      </c>
      <c r="F28" s="69" t="inlineStr">
        <is>
          <t>Physique (déduit)</t>
        </is>
      </c>
      <c r="G28" s="58">
        <f>156+62+60</f>
        <v/>
      </c>
      <c r="H28" s="54" t="inlineStr">
        <is>
          <t>Hot Breath (156)</t>
        </is>
      </c>
      <c r="I28" s="54" t="inlineStr">
        <is>
          <t>Lava Breath (62)</t>
        </is>
      </c>
      <c r="J28" s="54" t="inlineStr">
        <is>
          <t>Fiery Charge (60)</t>
        </is>
      </c>
      <c r="K28" s="70" t="inlineStr">
        <is>
          <t>Puissance du feu — dégâts Feu renforcés</t>
        </is>
      </c>
      <c r="L28" s="5" t="n">
        <v>156</v>
      </c>
      <c r="M28" s="5" t="n">
        <v>114</v>
      </c>
      <c r="N28" s="5">
        <f>ROUND(M28*L28/100,0)</f>
        <v/>
      </c>
    </row>
    <row r="29" ht="26" customHeight="1">
      <c r="A29" s="5" t="n">
        <v>25</v>
      </c>
      <c r="B29" s="5" t="n"/>
      <c r="C29" s="21" t="inlineStr">
        <is>
          <t>Magmarex</t>
        </is>
      </c>
      <c r="D29" s="31" t="inlineStr">
        <is>
          <t>Feu, Roche</t>
        </is>
      </c>
      <c r="E29" s="35" t="inlineStr">
        <is>
          <t>BREAK</t>
        </is>
      </c>
      <c r="F29" s="69" t="inlineStr">
        <is>
          <t>Physique</t>
        </is>
      </c>
      <c r="G29" s="58">
        <f>150+67+53</f>
        <v/>
      </c>
      <c r="H29" s="54" t="inlineStr">
        <is>
          <t>Burning Sun (150)</t>
        </is>
      </c>
      <c r="I29" s="54" t="inlineStr">
        <is>
          <t>Lava Punch (67)</t>
        </is>
      </c>
      <c r="J29" s="54" t="inlineStr">
        <is>
          <t>Magma Surge (53)</t>
        </is>
      </c>
      <c r="K29" s="70" t="inlineStr">
        <is>
          <t>Charge pyrique — accumule de la chaleur</t>
        </is>
      </c>
      <c r="L29" s="5" t="n">
        <v>150</v>
      </c>
      <c r="M29" s="5" t="n">
        <v>91</v>
      </c>
      <c r="N29" s="5">
        <f>ROUND(M29*L29/100,0)</f>
        <v/>
      </c>
    </row>
    <row r="30" ht="26" customHeight="1">
      <c r="A30" s="5" t="n">
        <v>26</v>
      </c>
      <c r="B30" s="5" t="n"/>
      <c r="C30" s="21" t="inlineStr">
        <is>
          <t>Fulmintis</t>
        </is>
      </c>
      <c r="D30" s="14" t="inlineStr">
        <is>
          <t>Foudre</t>
        </is>
      </c>
      <c r="E30" s="15" t="inlineStr">
        <is>
          <t>DPS</t>
        </is>
      </c>
      <c r="F30" s="69" t="inlineStr">
        <is>
          <t>Physique</t>
        </is>
      </c>
      <c r="G30" s="58">
        <f>180+52+35</f>
        <v/>
      </c>
      <c r="H30" s="54" t="inlineStr">
        <is>
          <t>Thunder Lance (180)</t>
        </is>
      </c>
      <c r="I30" s="54" t="inlineStr">
        <is>
          <t>Lightning Blade Impact (52)</t>
        </is>
      </c>
      <c r="J30" s="54" t="inlineStr">
        <is>
          <t>Lightning Blade Storm (35)</t>
        </is>
      </c>
      <c r="K30" s="70" t="inlineStr">
        <is>
          <t>Frappe d'éclair — +50% de dégâts d'attaque normale pendant 10 s à l'entrée sur le terrain</t>
        </is>
      </c>
      <c r="L30" s="5" t="n">
        <v>180</v>
      </c>
      <c r="M30" s="5" t="n">
        <v>130</v>
      </c>
      <c r="N30" s="5">
        <f>ROUND(M30*L30/100,0)</f>
        <v/>
      </c>
    </row>
    <row r="31" ht="26" customHeight="1">
      <c r="A31" s="5" t="n">
        <v>27</v>
      </c>
      <c r="B31" s="5" t="n"/>
      <c r="C31" s="21" t="inlineStr">
        <is>
          <t>Panpanta</t>
        </is>
      </c>
      <c r="D31" s="26" t="inlineStr">
        <is>
          <t>Eau</t>
        </is>
      </c>
      <c r="E31" s="35" t="inlineStr">
        <is>
          <t>BREAK</t>
        </is>
      </c>
      <c r="F31" s="69" t="inlineStr">
        <is>
          <t>Physique</t>
        </is>
      </c>
      <c r="G31" s="58">
        <f>176+39+39</f>
        <v/>
      </c>
      <c r="H31" s="54" t="inlineStr">
        <is>
          <t>Home Run (176)</t>
        </is>
      </c>
      <c r="I31" s="54" t="inlineStr">
        <is>
          <t>Water Cannon (39)</t>
        </is>
      </c>
      <c r="J31" s="54" t="inlineStr">
        <is>
          <t>Water Cannonade (39)</t>
        </is>
      </c>
      <c r="K31" s="70" t="inlineStr">
        <is>
          <t>Fanfaron — bonus quand il est en tête</t>
        </is>
      </c>
      <c r="L31" s="5" t="n">
        <v>176</v>
      </c>
      <c r="M31" s="5" t="n">
        <v>85</v>
      </c>
      <c r="N31" s="5">
        <f>ROUND(M31*L31/100,0)</f>
        <v/>
      </c>
    </row>
    <row r="32" ht="26" customHeight="1">
      <c r="A32" s="5" t="n">
        <v>28</v>
      </c>
      <c r="B32" s="5" t="n"/>
      <c r="C32" s="21" t="inlineStr">
        <is>
          <t>Malevsera</t>
        </is>
      </c>
      <c r="D32" s="23" t="inlineStr">
        <is>
          <t>Glace</t>
        </is>
      </c>
      <c r="E32" s="15" t="inlineStr">
        <is>
          <t>DPS</t>
        </is>
      </c>
      <c r="F32" s="69" t="inlineStr">
        <is>
          <t>Physique</t>
        </is>
      </c>
      <c r="G32" s="58">
        <f>154+65+33</f>
        <v/>
      </c>
      <c r="H32" s="54" t="inlineStr">
        <is>
          <t>Ashfrost Judgment (154)</t>
        </is>
      </c>
      <c r="I32" s="54" t="inlineStr">
        <is>
          <t>Demonic State (65)</t>
        </is>
      </c>
      <c r="J32" s="54" t="inlineStr">
        <is>
          <t>Wild Dance (33)</t>
        </is>
      </c>
      <c r="K32" s="70" t="inlineStr">
        <is>
          <t>Marque de givre — cumule des marques de gel</t>
        </is>
      </c>
      <c r="L32" s="5" t="n">
        <v>154</v>
      </c>
      <c r="M32" s="5" t="n">
        <v>125</v>
      </c>
      <c r="N32" s="5">
        <f>ROUND(M32*L32/100,0)</f>
        <v/>
      </c>
    </row>
    <row r="33" ht="26" customHeight="1">
      <c r="A33" s="5" t="n">
        <v>29</v>
      </c>
      <c r="B33" s="5" t="n"/>
      <c r="C33" s="21" t="inlineStr">
        <is>
          <t>Tuckin</t>
        </is>
      </c>
      <c r="D33" s="27" t="inlineStr">
        <is>
          <t>Plante</t>
        </is>
      </c>
      <c r="E33" s="35" t="inlineStr">
        <is>
          <t>BREAK</t>
        </is>
      </c>
      <c r="F33" s="69" t="inlineStr">
        <is>
          <t>Physique</t>
        </is>
      </c>
      <c r="G33" s="58">
        <f>165+47+39</f>
        <v/>
      </c>
      <c r="H33" s="54" t="inlineStr">
        <is>
          <t>Breaking Roar (165)</t>
        </is>
      </c>
      <c r="I33" s="54" t="inlineStr">
        <is>
          <t>Haunting Choir (47)</t>
        </is>
      </c>
      <c r="J33" s="54" t="inlineStr">
        <is>
          <t>Gravel Strike (39)</t>
        </is>
      </c>
      <c r="K33" s="70" t="inlineStr">
        <is>
          <t>Farceur — effets de contrôle renforcés</t>
        </is>
      </c>
      <c r="L33" s="5" t="n">
        <v>165</v>
      </c>
      <c r="M33" s="5" t="n">
        <v>80</v>
      </c>
      <c r="N33" s="5">
        <f>ROUND(M33*L33/100,0)</f>
        <v/>
      </c>
    </row>
    <row r="34" ht="26" customHeight="1">
      <c r="A34" s="5" t="n">
        <v>30</v>
      </c>
      <c r="B34" s="5" t="n"/>
      <c r="C34" s="21" t="inlineStr">
        <is>
          <t>Piopiota</t>
        </is>
      </c>
      <c r="D34" s="26" t="inlineStr">
        <is>
          <t>Eau</t>
        </is>
      </c>
      <c r="E34" s="8" t="inlineStr">
        <is>
          <t>SUPPORT</t>
        </is>
      </c>
      <c r="F34" s="69" t="inlineStr">
        <is>
          <t>Physique</t>
        </is>
      </c>
      <c r="G34" s="58">
        <f>100+76+72</f>
        <v/>
      </c>
      <c r="H34" s="54" t="inlineStr">
        <is>
          <t>Wrath of the Sea (100)</t>
        </is>
      </c>
      <c r="I34" s="54" t="inlineStr">
        <is>
          <t>Dark Tide (76)</t>
        </is>
      </c>
      <c r="J34" s="54" t="inlineStr">
        <is>
          <t>Surge (72)</t>
        </is>
      </c>
      <c r="K34" s="70" t="inlineStr">
        <is>
          <t>Fanfaron — bonus quand il est en tête</t>
        </is>
      </c>
      <c r="L34" s="5" t="n">
        <v>100</v>
      </c>
      <c r="M34" s="5" t="n">
        <v>108</v>
      </c>
      <c r="N34" s="5">
        <f>ROUND(M34*L34/100,0)</f>
        <v/>
      </c>
    </row>
    <row r="35" ht="26" customHeight="1">
      <c r="A35" s="5" t="n">
        <v>31</v>
      </c>
      <c r="B35" s="5" t="n"/>
      <c r="C35" s="21" t="inlineStr">
        <is>
          <t>Bouldus</t>
        </is>
      </c>
      <c r="D35" s="22" t="inlineStr">
        <is>
          <t>Roche</t>
        </is>
      </c>
      <c r="E35" s="8" t="inlineStr">
        <is>
          <t>SUPPORT</t>
        </is>
      </c>
      <c r="F35" s="69" t="inlineStr">
        <is>
          <t>Physique</t>
        </is>
      </c>
      <c r="G35" s="58">
        <f>175+40+30</f>
        <v/>
      </c>
      <c r="H35" s="54" t="inlineStr">
        <is>
          <t>Boulder Blast (175)</t>
        </is>
      </c>
      <c r="I35" s="54" t="inlineStr">
        <is>
          <t>Clay Ball (40)</t>
        </is>
      </c>
      <c r="J35" s="54" t="inlineStr">
        <is>
          <t>Rock Tackle (30)</t>
        </is>
      </c>
      <c r="K35" s="70" t="inlineStr">
        <is>
          <t>Éruption rocheuse — dégâts de zone renforcés</t>
        </is>
      </c>
      <c r="L35" s="5" t="n">
        <v>175</v>
      </c>
      <c r="M35" s="5" t="n">
        <v>119</v>
      </c>
      <c r="N35" s="5">
        <f>ROUND(M35*L35/100,0)</f>
        <v/>
      </c>
    </row>
    <row r="36" ht="26" customHeight="1">
      <c r="A36" s="5" t="n">
        <v>32</v>
      </c>
      <c r="B36" s="5" t="n"/>
      <c r="C36" s="21" t="inlineStr">
        <is>
          <t>Blazen</t>
        </is>
      </c>
      <c r="D36" s="14" t="inlineStr">
        <is>
          <t>Foudre</t>
        </is>
      </c>
      <c r="E36" s="35" t="inlineStr">
        <is>
          <t>BREAK</t>
        </is>
      </c>
      <c r="F36" s="69" t="inlineStr">
        <is>
          <t>Physique</t>
        </is>
      </c>
      <c r="G36" s="58">
        <f>135+52+45</f>
        <v/>
      </c>
      <c r="H36" s="54" t="inlineStr">
        <is>
          <t>Lightning Flash (135)</t>
        </is>
      </c>
      <c r="I36" s="54" t="inlineStr">
        <is>
          <t>Dark Claw (52)</t>
        </is>
      </c>
      <c r="J36" s="54" t="inlineStr">
        <is>
          <t>Lightning Cross (45)</t>
        </is>
      </c>
      <c r="K36" s="70" t="inlineStr">
        <is>
          <t>Endurance de puissance — en état d'excitation, tous les dégâts comptent comme critiques</t>
        </is>
      </c>
      <c r="L36" s="5" t="n">
        <v>135</v>
      </c>
      <c r="M36" s="5" t="n">
        <v>100</v>
      </c>
      <c r="N36" s="5">
        <f>ROUND(M36*L36/100,0)</f>
        <v/>
      </c>
    </row>
    <row r="37" ht="26" customHeight="1">
      <c r="A37" s="5" t="n">
        <v>33</v>
      </c>
      <c r="B37" s="5" t="n"/>
      <c r="C37" s="21" t="inlineStr">
        <is>
          <t>Tromber</t>
        </is>
      </c>
      <c r="D37" s="7" t="inlineStr">
        <is>
          <t>Vent</t>
        </is>
      </c>
      <c r="E37" s="8" t="inlineStr">
        <is>
          <t>SUPPORT</t>
        </is>
      </c>
      <c r="F37" s="69" t="inlineStr">
        <is>
          <t>Physique</t>
        </is>
      </c>
      <c r="G37" s="58">
        <f>92+62+59</f>
        <v/>
      </c>
      <c r="H37" s="54" t="inlineStr">
        <is>
          <t>Zephyr's Breath (92)</t>
        </is>
      </c>
      <c r="I37" s="54" t="inlineStr">
        <is>
          <t>Spiral Blade (62)</t>
        </is>
      </c>
      <c r="J37" s="54" t="inlineStr">
        <is>
          <t>Leaf Tornado (59)</t>
        </is>
      </c>
      <c r="K37" s="70" t="inlineStr">
        <is>
          <t>Économie d'EP — réduit la consommation d'énergie</t>
        </is>
      </c>
      <c r="L37" s="5" t="n">
        <v>92</v>
      </c>
      <c r="M37" s="5" t="n">
        <v>88</v>
      </c>
      <c r="N37" s="5">
        <f>ROUND(M37*L37/100,0)</f>
        <v/>
      </c>
    </row>
    <row r="38" ht="26" customHeight="1">
      <c r="A38" s="5" t="n">
        <v>34</v>
      </c>
      <c r="B38" s="5" t="n"/>
      <c r="C38" s="21" t="inlineStr">
        <is>
          <t>Bailite</t>
        </is>
      </c>
      <c r="D38" s="22" t="inlineStr">
        <is>
          <t>Roche</t>
        </is>
      </c>
      <c r="E38" s="8" t="inlineStr">
        <is>
          <t>SUPPORT</t>
        </is>
      </c>
      <c r="F38" s="71" t="inlineStr">
        <is>
          <t>Magique (déduit)</t>
        </is>
      </c>
      <c r="G38" s="58">
        <f>165+35+10</f>
        <v/>
      </c>
      <c r="H38" s="54" t="inlineStr">
        <is>
          <t>Annihilation Barrage (165)</t>
        </is>
      </c>
      <c r="I38" s="54" t="inlineStr">
        <is>
          <t>Turret Mode (35)</t>
        </is>
      </c>
      <c r="J38" s="54" t="inlineStr">
        <is>
          <t>Ant Nest Sentinel (10)</t>
        </is>
      </c>
      <c r="K38" s="70" t="inlineStr">
        <is>
          <t>Érosion puissante — réduit la défense des cibles</t>
        </is>
      </c>
      <c r="L38" s="5" t="n">
        <v>165</v>
      </c>
      <c r="M38" s="5" t="n">
        <v>114</v>
      </c>
      <c r="N38" s="5">
        <f>ROUND(M38*L38/100,0)</f>
        <v/>
      </c>
    </row>
    <row r="39" ht="26" customHeight="1">
      <c r="A39" s="5" t="n">
        <v>35</v>
      </c>
      <c r="B39" s="5" t="n"/>
      <c r="C39" s="21" t="inlineStr">
        <is>
          <t>Fenmane</t>
        </is>
      </c>
      <c r="D39" s="14" t="inlineStr">
        <is>
          <t>Foudre</t>
        </is>
      </c>
      <c r="E39" s="15" t="inlineStr">
        <is>
          <t>DPS</t>
        </is>
      </c>
      <c r="F39" s="71" t="inlineStr">
        <is>
          <t>Magique</t>
        </is>
      </c>
      <c r="G39" s="58">
        <f>100+50+50</f>
        <v/>
      </c>
      <c r="H39" s="54" t="inlineStr">
        <is>
          <t>Thunderfeather Volley (100)</t>
        </is>
      </c>
      <c r="I39" s="54" t="inlineStr">
        <is>
          <t>Lightning Dart (50)</t>
        </is>
      </c>
      <c r="J39" s="54" t="inlineStr">
        <is>
          <t>Radiant Dart (50)</t>
        </is>
      </c>
      <c r="K39" s="70" t="inlineStr">
        <is>
          <t>Charge électrique — accumule de la foudre</t>
        </is>
      </c>
      <c r="L39" s="5" t="n">
        <v>100</v>
      </c>
      <c r="M39" s="5" t="n">
        <v>125</v>
      </c>
      <c r="N39" s="5">
        <f>ROUND(M39*L39/100,0)</f>
        <v/>
      </c>
    </row>
    <row r="40" ht="26" customHeight="1">
      <c r="A40" s="5" t="n">
        <v>36</v>
      </c>
      <c r="B40" s="5" t="n"/>
      <c r="C40" s="21" t="inlineStr">
        <is>
          <t>Baleetle</t>
        </is>
      </c>
      <c r="D40" s="22" t="inlineStr">
        <is>
          <t>Roche</t>
        </is>
      </c>
      <c r="E40" s="15" t="inlineStr">
        <is>
          <t>DPS</t>
        </is>
      </c>
      <c r="F40" s="69" t="inlineStr">
        <is>
          <t>Physique</t>
        </is>
      </c>
      <c r="G40" s="58">
        <f>67+67+61</f>
        <v/>
      </c>
      <c r="H40" s="54" t="inlineStr">
        <is>
          <t>Stone Ball Cutter (67)</t>
        </is>
      </c>
      <c r="I40" s="54" t="inlineStr">
        <is>
          <t>Ice Ball Cutting (67)</t>
        </is>
      </c>
      <c r="J40" s="54" t="inlineStr">
        <is>
          <t>Stone Ball Drift (61)</t>
        </is>
      </c>
      <c r="K40" s="70" t="inlineStr">
        <is>
          <t>Noyau brûlant — accumule de la chaleur en roulant</t>
        </is>
      </c>
      <c r="L40" s="5" t="n">
        <v>67</v>
      </c>
      <c r="M40" s="5" t="n">
        <v>102</v>
      </c>
      <c r="N40" s="5">
        <f>ROUND(M40*L40/100,0)</f>
        <v/>
      </c>
    </row>
    <row r="41" ht="26" customHeight="1">
      <c r="A41" s="5" t="n">
        <v>37</v>
      </c>
      <c r="B41" s="5" t="n"/>
      <c r="C41" s="21" t="inlineStr">
        <is>
          <t>Flamerion</t>
        </is>
      </c>
      <c r="D41" s="31" t="inlineStr">
        <is>
          <t>Feu</t>
        </is>
      </c>
      <c r="E41" s="32" t="inlineStr">
        <is>
          <t>REGEN</t>
        </is>
      </c>
      <c r="F41" s="71" t="inlineStr">
        <is>
          <t>Magique</t>
        </is>
      </c>
      <c r="G41" s="58">
        <f>100+50+35</f>
        <v/>
      </c>
      <c r="H41" s="54" t="inlineStr">
        <is>
          <t>Phantom Flame Cannon (100)</t>
        </is>
      </c>
      <c r="I41" s="54" t="inlineStr">
        <is>
          <t>Fire Orb (50)</t>
        </is>
      </c>
      <c r="J41" s="54" t="inlineStr">
        <is>
          <t>Trick Fire Ring (35)</t>
        </is>
      </c>
      <c r="K41" s="70" t="inlineStr">
        <is>
          <t>Flammes rugissantes — dégâts de feu renforcés</t>
        </is>
      </c>
      <c r="L41" s="5" t="n">
        <v>100</v>
      </c>
      <c r="M41" s="5" t="n">
        <v>108</v>
      </c>
      <c r="N41" s="5">
        <f>ROUND(M41*L41/100,0)</f>
        <v/>
      </c>
    </row>
    <row r="42" ht="26" customHeight="1">
      <c r="A42" s="5" t="n">
        <v>38</v>
      </c>
      <c r="B42" s="5" t="n"/>
      <c r="C42" s="21" t="inlineStr">
        <is>
          <t>Chirpi</t>
        </is>
      </c>
      <c r="D42" s="7" t="inlineStr">
        <is>
          <t>Vent</t>
        </is>
      </c>
      <c r="E42" s="8" t="inlineStr">
        <is>
          <t>SUPPORT</t>
        </is>
      </c>
      <c r="F42" s="69" t="inlineStr">
        <is>
          <t>Physique (déduit)</t>
        </is>
      </c>
      <c r="G42" s="58">
        <f>67+59+59</f>
        <v/>
      </c>
      <c r="H42" s="54" t="inlineStr">
        <is>
          <t>Tornado Wind Orb (67)</t>
        </is>
      </c>
      <c r="I42" s="54" t="inlineStr">
        <is>
          <t>Leaf Tornado (59)</t>
        </is>
      </c>
      <c r="J42" s="54" t="inlineStr">
        <is>
          <t>Water Tornado (59)</t>
        </is>
      </c>
      <c r="K42" s="70" t="inlineStr">
        <is>
          <t>Économie d'EP — réduit la consommation d'énergie</t>
        </is>
      </c>
      <c r="L42" s="5" t="n">
        <v>67</v>
      </c>
      <c r="M42" s="5" t="n">
        <v>75</v>
      </c>
      <c r="N42" s="5">
        <f>ROUND(M42*L42/100,0)</f>
        <v/>
      </c>
    </row>
    <row r="43" ht="26" customHeight="1">
      <c r="A43" s="5" t="n">
        <v>39</v>
      </c>
      <c r="B43" s="5" t="n"/>
      <c r="C43" s="21" t="inlineStr">
        <is>
          <t>Besauce</t>
        </is>
      </c>
      <c r="D43" s="14" t="inlineStr">
        <is>
          <t>Foudre</t>
        </is>
      </c>
      <c r="E43" s="32" t="inlineStr">
        <is>
          <t>REGEN</t>
        </is>
      </c>
      <c r="F43" s="69" t="inlineStr">
        <is>
          <t>Physique</t>
        </is>
      </c>
      <c r="G43" s="58">
        <f>91+52+34</f>
        <v/>
      </c>
      <c r="H43" s="54" t="inlineStr">
        <is>
          <t>Electric Dance Frenzy (91)</t>
        </is>
      </c>
      <c r="I43" s="54" t="inlineStr">
        <is>
          <t>Beat of Passion (52)</t>
        </is>
      </c>
      <c r="J43" s="54" t="inlineStr">
        <is>
          <t>Disruptive Current (34)</t>
        </is>
      </c>
      <c r="K43" s="70" t="inlineStr">
        <is>
          <t>Moment parfait — récupère de l'EP sur un timing parfait (dépend du REGEN)</t>
        </is>
      </c>
      <c r="L43" s="5" t="n">
        <v>91</v>
      </c>
      <c r="M43" s="5" t="n">
        <v>89</v>
      </c>
      <c r="N43" s="5">
        <f>ROUND(M43*L43/100,0)</f>
        <v/>
      </c>
    </row>
    <row r="44" ht="26" customHeight="1">
      <c r="A44" s="5" t="n">
        <v>40</v>
      </c>
      <c r="B44" s="5" t="n"/>
      <c r="C44" s="21" t="inlineStr">
        <is>
          <t>Tubster</t>
        </is>
      </c>
      <c r="D44" s="7" t="inlineStr">
        <is>
          <t>Vent</t>
        </is>
      </c>
      <c r="E44" s="35" t="inlineStr">
        <is>
          <t>BREAK</t>
        </is>
      </c>
      <c r="F44" s="69" t="inlineStr">
        <is>
          <t>Physique</t>
        </is>
      </c>
      <c r="G44" s="58">
        <f>59+59+59</f>
        <v/>
      </c>
      <c r="H44" s="54" t="inlineStr">
        <is>
          <t>Leaf Tornado (59)</t>
        </is>
      </c>
      <c r="I44" s="54" t="inlineStr">
        <is>
          <t>Water Tornado (59)</t>
        </is>
      </c>
      <c r="J44" s="54" t="inlineStr">
        <is>
          <t>Tornado (59)</t>
        </is>
      </c>
      <c r="K44" s="70" t="inlineStr">
        <is>
          <t>Stabilité — +25% de vitesse de BREAK quand il a un bouclier</t>
        </is>
      </c>
      <c r="L44" s="5" t="n">
        <v>59</v>
      </c>
      <c r="M44" s="5" t="n">
        <v>75</v>
      </c>
      <c r="N44" s="5">
        <f>ROUND(M44*L44/100,0)</f>
        <v/>
      </c>
    </row>
    <row r="45" ht="26" customHeight="1">
      <c r="A45" s="5" t="n">
        <v>41</v>
      </c>
      <c r="B45" s="5" t="n"/>
      <c r="C45" s="21" t="inlineStr">
        <is>
          <t>Emberpup</t>
        </is>
      </c>
      <c r="D45" s="31" t="inlineStr">
        <is>
          <t>Feu</t>
        </is>
      </c>
      <c r="E45" s="15" t="inlineStr">
        <is>
          <t>DPS</t>
        </is>
      </c>
      <c r="F45" s="69" t="inlineStr">
        <is>
          <t>Physique</t>
        </is>
      </c>
      <c r="G45" s="58">
        <f>72+72+30</f>
        <v/>
      </c>
      <c r="H45" s="54" t="inlineStr">
        <is>
          <t>Fire Kick (72)</t>
        </is>
      </c>
      <c r="I45" s="54" t="inlineStr">
        <is>
          <t>Pebble Kick (72)</t>
        </is>
      </c>
      <c r="J45" s="54" t="inlineStr">
        <is>
          <t>Fire Bolt (30)</t>
        </is>
      </c>
      <c r="K45" s="70" t="inlineStr">
        <is>
          <t>Flammes ardentes — +15% de dégâts sur les cibles ayant 5 cumuls de brûlure</t>
        </is>
      </c>
      <c r="L45" s="5" t="n">
        <v>72</v>
      </c>
      <c r="M45" s="5" t="n">
        <v>86</v>
      </c>
      <c r="N45" s="5">
        <f>ROUND(M45*L45/100,0)</f>
        <v/>
      </c>
    </row>
    <row r="46" ht="26" customHeight="1">
      <c r="A46" s="5" t="n">
        <v>42</v>
      </c>
      <c r="B46" s="5" t="n"/>
      <c r="C46" s="21" t="inlineStr">
        <is>
          <t>Flameruff</t>
        </is>
      </c>
      <c r="D46" s="31" t="inlineStr">
        <is>
          <t>Feu</t>
        </is>
      </c>
      <c r="E46" s="15" t="inlineStr">
        <is>
          <t>DPS</t>
        </is>
      </c>
      <c r="F46" s="69" t="inlineStr">
        <is>
          <t>Physique</t>
        </is>
      </c>
      <c r="G46" s="58">
        <f>72+72+30</f>
        <v/>
      </c>
      <c r="H46" s="54" t="inlineStr">
        <is>
          <t>Fire Kick (72)</t>
        </is>
      </c>
      <c r="I46" s="54" t="inlineStr">
        <is>
          <t>Pebble Kick (72)</t>
        </is>
      </c>
      <c r="J46" s="54" t="inlineStr">
        <is>
          <t>Fire Bolt (30)</t>
        </is>
      </c>
      <c r="K46" s="70" t="inlineStr">
        <is>
          <t>Flammes ardentes — +15% de dégâts sur les cibles ayant 5 cumuls de brûlure</t>
        </is>
      </c>
      <c r="L46" s="5" t="n">
        <v>72</v>
      </c>
      <c r="M46" s="5" t="n">
        <v>104</v>
      </c>
      <c r="N46" s="5">
        <f>ROUND(M46*L46/100,0)</f>
        <v/>
      </c>
    </row>
    <row r="47" ht="26" customHeight="1">
      <c r="A47" s="5" t="n">
        <v>43</v>
      </c>
      <c r="B47" s="5" t="n"/>
      <c r="C47" s="21" t="inlineStr">
        <is>
          <t>Coraliz</t>
        </is>
      </c>
      <c r="D47" s="22" t="inlineStr">
        <is>
          <t>Roche, Eau</t>
        </is>
      </c>
      <c r="E47" s="32" t="inlineStr">
        <is>
          <t>REGEN</t>
        </is>
      </c>
      <c r="F47" s="69" t="inlineStr">
        <is>
          <t>Physique</t>
        </is>
      </c>
      <c r="G47" s="58">
        <f>70+67+28</f>
        <v/>
      </c>
      <c r="H47" s="54" t="inlineStr">
        <is>
          <t>Coral Prison (70)</t>
        </is>
      </c>
      <c r="I47" s="54" t="inlineStr">
        <is>
          <t>Coral Trap (67)</t>
        </is>
      </c>
      <c r="J47" s="54" t="inlineStr">
        <is>
          <t>Quicksand Slam (28)</t>
        </is>
      </c>
      <c r="K47" s="70" t="inlineStr">
        <is>
          <t>Corail régénérant — régénération continue</t>
        </is>
      </c>
      <c r="L47" s="5" t="n">
        <v>70</v>
      </c>
      <c r="M47" s="5" t="n">
        <v>78</v>
      </c>
      <c r="N47" s="5">
        <f>ROUND(M47*L47/100,0)</f>
        <v/>
      </c>
    </row>
    <row r="48" ht="26" customHeight="1">
      <c r="A48" s="5" t="n">
        <v>44</v>
      </c>
      <c r="B48" s="5" t="n"/>
      <c r="C48" s="21" t="inlineStr">
        <is>
          <t>Wavwal</t>
        </is>
      </c>
      <c r="D48" s="23" t="inlineStr">
        <is>
          <t>Glace</t>
        </is>
      </c>
      <c r="E48" s="35" t="inlineStr">
        <is>
          <t>BREAK</t>
        </is>
      </c>
      <c r="F48" s="69" t="inlineStr">
        <is>
          <t>Physique</t>
        </is>
      </c>
      <c r="G48" s="58">
        <f>67+45+45</f>
        <v/>
      </c>
      <c r="H48" s="54" t="inlineStr">
        <is>
          <t>Wave Surge (67)</t>
        </is>
      </c>
      <c r="I48" s="54" t="inlineStr">
        <is>
          <t>Ground Slam (45)</t>
        </is>
      </c>
      <c r="J48" s="54" t="inlineStr">
        <is>
          <t>Sand Rush (45)</t>
        </is>
      </c>
      <c r="K48" s="70" t="inlineStr">
        <is>
          <t>Froid extrême — ralentit et gèle</t>
        </is>
      </c>
      <c r="L48" s="5" t="n">
        <v>67</v>
      </c>
      <c r="M48" s="5" t="n">
        <v>75</v>
      </c>
      <c r="N48" s="5">
        <f>ROUND(M48*L48/100,0)</f>
        <v/>
      </c>
    </row>
    <row r="49" ht="26" customHeight="1">
      <c r="A49" s="5" t="n">
        <v>45</v>
      </c>
      <c r="B49" s="5" t="n"/>
      <c r="C49" s="21" t="inlineStr">
        <is>
          <t>Luminelle</t>
        </is>
      </c>
      <c r="D49" s="14" t="inlineStr">
        <is>
          <t>Foudre</t>
        </is>
      </c>
      <c r="E49" s="8" t="inlineStr">
        <is>
          <t>SUPPORT</t>
        </is>
      </c>
      <c r="F49" s="71" t="inlineStr">
        <is>
          <t>Magique</t>
        </is>
      </c>
      <c r="G49" s="58">
        <f>80+53+20</f>
        <v/>
      </c>
      <c r="H49" s="54" t="inlineStr">
        <is>
          <t>Self-Destruction (80)</t>
        </is>
      </c>
      <c r="I49" s="54" t="inlineStr">
        <is>
          <t>Swift Retreat (53)</t>
        </is>
      </c>
      <c r="J49" s="54" t="inlineStr">
        <is>
          <t>Healing Impact (20)</t>
        </is>
      </c>
      <c r="K49" s="70" t="inlineStr">
        <is>
          <t>Soin rapide — +10% d'efficacité des soins</t>
        </is>
      </c>
      <c r="L49" s="5" t="n">
        <v>80</v>
      </c>
      <c r="M49" s="5" t="n">
        <v>90</v>
      </c>
      <c r="N49" s="5">
        <f>ROUND(M49*L49/100,0)</f>
        <v/>
      </c>
    </row>
    <row r="50" ht="26" customHeight="1">
      <c r="A50" s="5" t="n">
        <v>46</v>
      </c>
      <c r="B50" s="5" t="n"/>
      <c r="C50" s="21" t="inlineStr">
        <is>
          <t>Gracewing</t>
        </is>
      </c>
      <c r="D50" s="7" t="inlineStr">
        <is>
          <t>Vent</t>
        </is>
      </c>
      <c r="E50" s="34" t="inlineStr">
        <is>
          <t>HEAL</t>
        </is>
      </c>
      <c r="F50" s="72" t="inlineStr">
        <is>
          <t>Soin</t>
        </is>
      </c>
      <c r="G50" s="58">
        <f>150+0+0</f>
        <v/>
      </c>
      <c r="H50" s="54" t="inlineStr">
        <is>
          <t>Help! Gracewing! (150)</t>
        </is>
      </c>
      <c r="I50" s="54" t="inlineStr">
        <is>
          <t>Healing Dance (0)</t>
        </is>
      </c>
      <c r="J50" s="54" t="inlineStr">
        <is>
          <t>Purifying Dance (0)</t>
        </is>
      </c>
      <c r="K50" s="70" t="inlineStr">
        <is>
          <t>Recharge d'ombre — les alliés touchés par leur propre skill récupèrent 2 EP/8 s</t>
        </is>
      </c>
      <c r="L50" s="5" t="n">
        <v>150</v>
      </c>
      <c r="M50" s="5" t="n">
        <v>95</v>
      </c>
      <c r="N50" s="5">
        <f>ROUND(M50*L50/100,0)</f>
        <v/>
      </c>
    </row>
    <row r="51" ht="26" customHeight="1">
      <c r="A51" s="5" t="n">
        <v>47</v>
      </c>
      <c r="B51" s="5" t="n"/>
      <c r="C51" s="21" t="inlineStr">
        <is>
          <t>Bonesky</t>
        </is>
      </c>
      <c r="D51" s="23" t="inlineStr">
        <is>
          <t>Glace</t>
        </is>
      </c>
      <c r="E51" s="15" t="inlineStr">
        <is>
          <t>DPS</t>
        </is>
      </c>
      <c r="F51" s="69" t="inlineStr">
        <is>
          <t>Physique</t>
        </is>
      </c>
      <c r="G51" s="58">
        <f>55+55+39</f>
        <v/>
      </c>
      <c r="H51" s="54" t="inlineStr">
        <is>
          <t>Ice Strikes (55)</t>
        </is>
      </c>
      <c r="I51" s="54" t="inlineStr">
        <is>
          <t>Night Slash (55)</t>
        </is>
      </c>
      <c r="J51" s="54" t="inlineStr">
        <is>
          <t>Boomerang Blade (39)</t>
        </is>
      </c>
      <c r="K51" s="70" t="inlineStr">
        <is>
          <t>Adrénaline — vitesse d'attaque accrue à bas PV</t>
        </is>
      </c>
      <c r="L51" s="5" t="n">
        <v>55</v>
      </c>
      <c r="M51" s="5" t="n">
        <v>88</v>
      </c>
      <c r="N51" s="5">
        <f>ROUND(M51*L51/100,0)</f>
        <v/>
      </c>
    </row>
    <row r="52" ht="26" customHeight="1">
      <c r="A52" s="5" t="n">
        <v>48</v>
      </c>
      <c r="B52" s="5" t="n"/>
      <c r="C52" s="21" t="inlineStr">
        <is>
          <t>Fenrier</t>
        </is>
      </c>
      <c r="D52" s="23" t="inlineStr">
        <is>
          <t>Glace</t>
        </is>
      </c>
      <c r="E52" s="15" t="inlineStr">
        <is>
          <t>DPS</t>
        </is>
      </c>
      <c r="F52" s="69" t="inlineStr">
        <is>
          <t>Physique</t>
        </is>
      </c>
      <c r="G52" s="58">
        <f>55+55+39</f>
        <v/>
      </c>
      <c r="H52" s="54" t="inlineStr">
        <is>
          <t>Ice Strikes (55)</t>
        </is>
      </c>
      <c r="I52" s="54" t="inlineStr">
        <is>
          <t>Night Slash (55)</t>
        </is>
      </c>
      <c r="J52" s="54" t="inlineStr">
        <is>
          <t>Boomerang Blade (39)</t>
        </is>
      </c>
      <c r="K52" s="70" t="inlineStr">
        <is>
          <t>Adrénaline — vitesse d'attaque accrue à bas PV</t>
        </is>
      </c>
      <c r="L52" s="5" t="n">
        <v>55</v>
      </c>
      <c r="M52" s="5" t="n">
        <v>105</v>
      </c>
      <c r="N52" s="5">
        <f>ROUND(M52*L52/100,0)</f>
        <v/>
      </c>
    </row>
    <row r="53" ht="26" customHeight="1">
      <c r="A53" s="5" t="n">
        <v>49</v>
      </c>
      <c r="B53" s="5" t="n"/>
      <c r="C53" s="21" t="inlineStr">
        <is>
          <t>Wisptis</t>
        </is>
      </c>
      <c r="D53" s="18" t="inlineStr">
        <is>
          <t>Ténèbres</t>
        </is>
      </c>
      <c r="E53" s="15" t="inlineStr">
        <is>
          <t>DPS</t>
        </is>
      </c>
      <c r="F53" s="69" t="inlineStr">
        <is>
          <t>Physique</t>
        </is>
      </c>
      <c r="G53" s="58">
        <f>60+60+25</f>
        <v/>
      </c>
      <c r="H53" s="54" t="inlineStr">
        <is>
          <t>Scythe Dance (60)</t>
        </is>
      </c>
      <c r="I53" s="54" t="inlineStr">
        <is>
          <t>Forest Whirl (60)</t>
        </is>
      </c>
      <c r="J53" s="54" t="inlineStr">
        <is>
          <t>Dark Dash (25)</t>
        </is>
      </c>
      <c r="K53" s="70" t="inlineStr">
        <is>
          <t>Embuscade — dégâts accrus en sortie de furtivité</t>
        </is>
      </c>
      <c r="L53" s="5" t="n">
        <v>60</v>
      </c>
      <c r="M53" s="5" t="n">
        <v>108</v>
      </c>
      <c r="N53" s="5">
        <f>ROUND(M53*L53/100,0)</f>
        <v/>
      </c>
    </row>
    <row r="54" ht="26" customHeight="1">
      <c r="A54" s="5" t="n">
        <v>50</v>
      </c>
      <c r="B54" s="5" t="n"/>
      <c r="C54" s="21" t="inlineStr">
        <is>
          <t>Dreaple</t>
        </is>
      </c>
      <c r="D54" s="18" t="inlineStr">
        <is>
          <t>Ténèbres</t>
        </is>
      </c>
      <c r="E54" s="8" t="inlineStr">
        <is>
          <t>SUPPORT</t>
        </is>
      </c>
      <c r="F54" s="71" t="inlineStr">
        <is>
          <t>Magique</t>
        </is>
      </c>
      <c r="G54" s="58">
        <f>84+30+30</f>
        <v/>
      </c>
      <c r="H54" s="54" t="inlineStr">
        <is>
          <t>Dream Blast (84)</t>
        </is>
      </c>
      <c r="I54" s="54" t="inlineStr">
        <is>
          <t>Nimbi Attack (30)</t>
        </is>
      </c>
      <c r="J54" s="54" t="inlineStr">
        <is>
          <t>Hypnotic Cloud Shot (30)</t>
        </is>
      </c>
      <c r="K54" s="70" t="inlineStr">
        <is>
          <t>Nonchalant — récupération passive</t>
        </is>
      </c>
      <c r="L54" s="5" t="n">
        <v>84</v>
      </c>
      <c r="M54" s="5" t="n">
        <v>90</v>
      </c>
      <c r="N54" s="5">
        <f>ROUND(M54*L54/100,0)</f>
        <v/>
      </c>
    </row>
    <row r="55" ht="26" customHeight="1">
      <c r="A55" s="5" t="n">
        <v>51</v>
      </c>
      <c r="B55" s="5" t="n"/>
      <c r="C55" s="21" t="inlineStr">
        <is>
          <t>Budclaw</t>
        </is>
      </c>
      <c r="D55" s="22" t="inlineStr">
        <is>
          <t>Roche, Plante</t>
        </is>
      </c>
      <c r="E55" s="35" t="inlineStr">
        <is>
          <t>BREAK</t>
        </is>
      </c>
      <c r="F55" s="71" t="inlineStr">
        <is>
          <t>Magique</t>
        </is>
      </c>
      <c r="G55" s="58">
        <f>66+40+35</f>
        <v/>
      </c>
      <c r="H55" s="54" t="inlineStr">
        <is>
          <t>Verdant Beam (66)</t>
        </is>
      </c>
      <c r="I55" s="54" t="inlineStr">
        <is>
          <t>Leaf Slash (40)</t>
        </is>
      </c>
      <c r="J55" s="54" t="inlineStr">
        <is>
          <t>The Luminus Gust (35)</t>
        </is>
      </c>
      <c r="K55" s="70" t="inlineStr">
        <is>
          <t>Dormance — régénère hors combat</t>
        </is>
      </c>
      <c r="L55" s="5" t="n">
        <v>66</v>
      </c>
      <c r="M55" s="5" t="n">
        <v>64</v>
      </c>
      <c r="N55" s="5">
        <f>ROUND(M55*L55/100,0)</f>
        <v/>
      </c>
    </row>
    <row r="56" ht="26" customHeight="1">
      <c r="A56" s="5" t="n">
        <v>52</v>
      </c>
      <c r="B56" s="5" t="n"/>
      <c r="C56" s="21" t="inlineStr">
        <is>
          <t>Celestis</t>
        </is>
      </c>
      <c r="D56" s="18" t="inlineStr">
        <is>
          <t>Ténèbres</t>
        </is>
      </c>
      <c r="E56" s="15" t="inlineStr">
        <is>
          <t>DPS</t>
        </is>
      </c>
      <c r="F56" s="71" t="inlineStr">
        <is>
          <t>Magique</t>
        </is>
      </c>
      <c r="G56" s="58">
        <f>74+61</f>
        <v/>
      </c>
      <c r="H56" s="54" t="inlineStr">
        <is>
          <t>Star Glide (74)</t>
        </is>
      </c>
      <c r="I56" s="54" t="inlineStr">
        <is>
          <t>Shooting Star Bombs (61)</t>
        </is>
      </c>
      <c r="J56" s="54" t="inlineStr">
        <is>
          <t>—</t>
        </is>
      </c>
      <c r="K56" s="70" t="inlineStr">
        <is>
          <t>Grand sorcier — après 5 s d'incantation, les attaques normales gagnent des dégâts bonus</t>
        </is>
      </c>
      <c r="L56" s="5" t="n">
        <v>74</v>
      </c>
      <c r="M56" s="5" t="n">
        <v>106</v>
      </c>
      <c r="N56" s="5">
        <f>ROUND(M56*L56/100,0)</f>
        <v/>
      </c>
    </row>
    <row r="57" ht="26" customHeight="1">
      <c r="A57" s="5" t="n">
        <v>53</v>
      </c>
      <c r="B57" s="5" t="n"/>
      <c r="C57" s="21" t="inlineStr">
        <is>
          <t>Cheekie</t>
        </is>
      </c>
      <c r="D57" s="23" t="inlineStr">
        <is>
          <t>Glace</t>
        </is>
      </c>
      <c r="E57" s="35" t="inlineStr">
        <is>
          <t>BREAK</t>
        </is>
      </c>
      <c r="F57" s="69" t="inlineStr">
        <is>
          <t>Physique</t>
        </is>
      </c>
      <c r="G57" s="58">
        <f>45+45+45</f>
        <v/>
      </c>
      <c r="H57" s="54" t="inlineStr">
        <is>
          <t>Ground Slam (45)</t>
        </is>
      </c>
      <c r="I57" s="54" t="inlineStr">
        <is>
          <t>Sand Rush (45)</t>
        </is>
      </c>
      <c r="J57" s="54" t="inlineStr">
        <is>
          <t>Icebreaker (45)</t>
        </is>
      </c>
      <c r="K57" s="70" t="inlineStr">
        <is>
          <t>Froid extrême — ralentit et gèle</t>
        </is>
      </c>
      <c r="L57" s="5" t="n">
        <v>45</v>
      </c>
      <c r="M57" s="5" t="n">
        <v>64</v>
      </c>
      <c r="N57" s="5">
        <f>ROUND(M57*L57/100,0)</f>
        <v/>
      </c>
    </row>
    <row r="58" ht="26" customHeight="1">
      <c r="A58" s="5" t="n">
        <v>54</v>
      </c>
      <c r="B58" s="5" t="n"/>
      <c r="C58" s="21" t="inlineStr">
        <is>
          <t>Budsquire</t>
        </is>
      </c>
      <c r="D58" s="27" t="inlineStr">
        <is>
          <t>Plante</t>
        </is>
      </c>
      <c r="E58" s="15" t="inlineStr">
        <is>
          <t>DPS</t>
        </is>
      </c>
      <c r="F58" s="69" t="inlineStr">
        <is>
          <t>Physique</t>
        </is>
      </c>
      <c r="G58" s="58">
        <f>75+57</f>
        <v/>
      </c>
      <c r="H58" s="54" t="inlineStr">
        <is>
          <t>Thorny Defense (75)</t>
        </is>
      </c>
      <c r="I58" s="54" t="inlineStr">
        <is>
          <t>Thorny Impact (57)</t>
        </is>
      </c>
      <c r="J58" s="54" t="inlineStr">
        <is>
          <t>—</t>
        </is>
      </c>
      <c r="K58" s="70" t="inlineStr">
        <is>
          <t>Cœur d'épines — renvoie une partie des dégâts</t>
        </is>
      </c>
      <c r="L58" s="5" t="n">
        <v>75</v>
      </c>
      <c r="M58" s="5" t="n">
        <v>103</v>
      </c>
      <c r="N58" s="5">
        <f>ROUND(M58*L58/100,0)</f>
        <v/>
      </c>
    </row>
    <row r="59" ht="26" customHeight="1">
      <c r="A59" s="5" t="n">
        <v>55</v>
      </c>
      <c r="B59" s="5" t="n"/>
      <c r="C59" s="21" t="inlineStr">
        <is>
          <t>Shelly</t>
        </is>
      </c>
      <c r="D59" s="26" t="inlineStr">
        <is>
          <t>Eau</t>
        </is>
      </c>
      <c r="E59" s="15" t="inlineStr">
        <is>
          <t>DPS</t>
        </is>
      </c>
      <c r="F59" s="69" t="inlineStr">
        <is>
          <t>Physique</t>
        </is>
      </c>
      <c r="G59" s="58">
        <f>83+47</f>
        <v/>
      </c>
      <c r="H59" s="54" t="inlineStr">
        <is>
          <t>Hydro Roll (83)</t>
        </is>
      </c>
      <c r="I59" s="54" t="inlineStr">
        <is>
          <t>Torrent Slam (47)</t>
        </is>
      </c>
      <c r="J59" s="54" t="inlineStr">
        <is>
          <t>—</t>
        </is>
      </c>
      <c r="K59" s="70" t="inlineStr">
        <is>
          <t>Maîtrise de l'eau — dégâts Eau renforcés</t>
        </is>
      </c>
      <c r="L59" s="5" t="n">
        <v>83</v>
      </c>
      <c r="M59" s="5" t="n">
        <v>90</v>
      </c>
      <c r="N59" s="5">
        <f>ROUND(M59*L59/100,0)</f>
        <v/>
      </c>
    </row>
    <row r="60" ht="26" customHeight="1">
      <c r="A60" s="5" t="n">
        <v>56</v>
      </c>
      <c r="B60" s="5" t="n"/>
      <c r="C60" s="21" t="inlineStr">
        <is>
          <t>Sheldon</t>
        </is>
      </c>
      <c r="D60" s="26" t="inlineStr">
        <is>
          <t>Eau</t>
        </is>
      </c>
      <c r="E60" s="15" t="inlineStr">
        <is>
          <t>DPS</t>
        </is>
      </c>
      <c r="F60" s="69" t="inlineStr">
        <is>
          <t>Physique</t>
        </is>
      </c>
      <c r="G60" s="58">
        <f>83+47</f>
        <v/>
      </c>
      <c r="H60" s="54" t="inlineStr">
        <is>
          <t>Hydro Roll (83)</t>
        </is>
      </c>
      <c r="I60" s="54" t="inlineStr">
        <is>
          <t>Torrent Slam (47)</t>
        </is>
      </c>
      <c r="J60" s="54" t="inlineStr">
        <is>
          <t>—</t>
        </is>
      </c>
      <c r="K60" s="70" t="inlineStr">
        <is>
          <t>Maîtrise de l'eau — dégâts Eau renforcés</t>
        </is>
      </c>
      <c r="L60" s="5" t="n">
        <v>83</v>
      </c>
      <c r="M60" s="5" t="n">
        <v>109</v>
      </c>
      <c r="N60" s="5">
        <f>ROUND(M60*L60/100,0)</f>
        <v/>
      </c>
    </row>
    <row r="61" ht="26" customHeight="1">
      <c r="A61" s="5" t="n">
        <v>57</v>
      </c>
      <c r="B61" s="5" t="n"/>
      <c r="C61" s="21" t="inlineStr">
        <is>
          <t>Pomegg</t>
        </is>
      </c>
      <c r="D61" s="27" t="inlineStr">
        <is>
          <t>Plante</t>
        </is>
      </c>
      <c r="E61" s="35" t="inlineStr">
        <is>
          <t>BREAK</t>
        </is>
      </c>
      <c r="F61" s="69" t="inlineStr">
        <is>
          <t>Physique</t>
        </is>
      </c>
      <c r="G61" s="58">
        <f>45+45+36</f>
        <v/>
      </c>
      <c r="H61" s="54" t="inlineStr">
        <is>
          <t>Frost Strike (45)</t>
        </is>
      </c>
      <c r="I61" s="54" t="inlineStr">
        <is>
          <t>Jittering Beats (45)</t>
        </is>
      </c>
      <c r="J61" s="54" t="inlineStr">
        <is>
          <t>Rhythm Combo (36)</t>
        </is>
      </c>
      <c r="K61" s="70" t="inlineStr">
        <is>
          <t>Accordage — synergie rythmique</t>
        </is>
      </c>
      <c r="L61" s="5" t="n">
        <v>45</v>
      </c>
      <c r="M61" s="5" t="n">
        <v>72</v>
      </c>
      <c r="N61" s="5">
        <f>ROUND(M61*L61/100,0)</f>
        <v/>
      </c>
    </row>
    <row r="62" ht="26" customHeight="1">
      <c r="A62" s="5" t="n">
        <v>58</v>
      </c>
      <c r="B62" s="5" t="n"/>
      <c r="C62" s="21" t="inlineStr">
        <is>
          <t>Helmut</t>
        </is>
      </c>
      <c r="D62" s="18" t="inlineStr">
        <is>
          <t>Ténèbres</t>
        </is>
      </c>
      <c r="E62" s="35" t="inlineStr">
        <is>
          <t>BREAK</t>
        </is>
      </c>
      <c r="F62" s="69" t="inlineStr">
        <is>
          <t>Physique</t>
        </is>
      </c>
      <c r="G62" s="58">
        <f>45+45+36</f>
        <v/>
      </c>
      <c r="H62" s="54" t="inlineStr">
        <is>
          <t>Guardbreak Slam (45)</t>
        </is>
      </c>
      <c r="I62" s="54" t="inlineStr">
        <is>
          <t>Guardbreak Smash (45)</t>
        </is>
      </c>
      <c r="J62" s="54" t="inlineStr">
        <is>
          <t>Defense Mode (36)</t>
        </is>
      </c>
      <c r="K62" s="70" t="inlineStr">
        <is>
          <t>Corps dur — gagne un bonus de BREAK égal à 10% de la DÉF. Phys.</t>
        </is>
      </c>
      <c r="L62" s="5" t="n">
        <v>45</v>
      </c>
      <c r="M62" s="5" t="n">
        <v>52</v>
      </c>
      <c r="N62" s="5">
        <f>ROUND(M62*L62/100,0)</f>
        <v/>
      </c>
    </row>
    <row r="63" ht="26" customHeight="1">
      <c r="A63" s="5" t="n">
        <v>59</v>
      </c>
      <c r="B63" s="5" t="n"/>
      <c r="C63" s="21" t="inlineStr">
        <is>
          <t>Popapus</t>
        </is>
      </c>
      <c r="D63" s="26" t="inlineStr">
        <is>
          <t>Eau</t>
        </is>
      </c>
      <c r="E63" s="15" t="inlineStr">
        <is>
          <t>DPS</t>
        </is>
      </c>
      <c r="F63" s="71" t="inlineStr">
        <is>
          <t>Magique</t>
        </is>
      </c>
      <c r="G63" s="58">
        <f>124+0</f>
        <v/>
      </c>
      <c r="H63" s="54" t="inlineStr">
        <is>
          <t>Clearance Sale (124)</t>
        </is>
      </c>
      <c r="I63" s="54" t="inlineStr">
        <is>
          <t>Rigged Odds (0)</t>
        </is>
      </c>
      <c r="J63" s="54" t="inlineStr">
        <is>
          <t>—</t>
        </is>
      </c>
      <c r="K63" s="70" t="inlineStr">
        <is>
          <t>Gachapon — effets aléatoires puissants</t>
        </is>
      </c>
      <c r="L63" s="5" t="n">
        <v>124</v>
      </c>
      <c r="M63" s="5" t="n">
        <v>102</v>
      </c>
      <c r="N63" s="5">
        <f>ROUND(M63*L63/100,0)</f>
        <v/>
      </c>
    </row>
    <row r="64" ht="26" customHeight="1">
      <c r="A64" s="5" t="n">
        <v>60</v>
      </c>
      <c r="B64" s="5" t="n"/>
      <c r="C64" s="21" t="inlineStr">
        <is>
          <t>Glameep</t>
        </is>
      </c>
      <c r="D64" s="27" t="inlineStr">
        <is>
          <t>Plante, Eau</t>
        </is>
      </c>
      <c r="E64" s="34" t="inlineStr">
        <is>
          <t>HEAL</t>
        </is>
      </c>
      <c r="F64" s="71" t="inlineStr">
        <is>
          <t>Magique (déduit)</t>
        </is>
      </c>
      <c r="G64" s="58">
        <f>50+50+20</f>
        <v/>
      </c>
      <c r="H64" s="54" t="inlineStr">
        <is>
          <t>Baa-Baa Sweetbubb (50)</t>
        </is>
      </c>
      <c r="I64" s="54" t="inlineStr">
        <is>
          <t>Baa-Baa Darkbubb (50)</t>
        </is>
      </c>
      <c r="J64" s="54" t="inlineStr">
        <is>
          <t>Baa-Baa Leaf Shot (20)</t>
        </is>
      </c>
      <c r="K64" s="70" t="inlineStr">
        <is>
          <t>Énergie de bulle — soins en bulles</t>
        </is>
      </c>
      <c r="L64" s="5" t="n">
        <v>50</v>
      </c>
      <c r="M64" s="5" t="n">
        <v>100</v>
      </c>
      <c r="N64" s="5">
        <f>ROUND(M64*L64/100,0)</f>
        <v/>
      </c>
    </row>
    <row r="65" ht="26" customHeight="1">
      <c r="A65" s="5" t="n">
        <v>61</v>
      </c>
      <c r="B65" s="5" t="n"/>
      <c r="C65" s="21" t="inlineStr">
        <is>
          <t>Susuta</t>
        </is>
      </c>
      <c r="D65" s="26" t="inlineStr">
        <is>
          <t>Eau</t>
        </is>
      </c>
      <c r="E65" s="35" t="inlineStr">
        <is>
          <t>BREAK</t>
        </is>
      </c>
      <c r="F65" s="69" t="inlineStr">
        <is>
          <t>Physique</t>
        </is>
      </c>
      <c r="G65" s="58">
        <f>74+39</f>
        <v/>
      </c>
      <c r="H65" s="54" t="inlineStr">
        <is>
          <t>Water Dash (74)</t>
        </is>
      </c>
      <c r="I65" s="54" t="inlineStr">
        <is>
          <t>Water Cannon (39)</t>
        </is>
      </c>
      <c r="J65" s="54" t="inlineStr">
        <is>
          <t>—</t>
        </is>
      </c>
      <c r="K65" s="70" t="inlineStr">
        <is>
          <t>Fanfaron — bonus quand il est en tête</t>
        </is>
      </c>
      <c r="L65" s="5" t="n">
        <v>74</v>
      </c>
      <c r="M65" s="5" t="n">
        <v>61</v>
      </c>
      <c r="N65" s="5">
        <f>ROUND(M65*L65/100,0)</f>
        <v/>
      </c>
    </row>
    <row r="66" ht="26" customHeight="1">
      <c r="A66" s="5" t="n">
        <v>62</v>
      </c>
      <c r="B66" s="5" t="n"/>
      <c r="C66" s="21" t="inlineStr">
        <is>
          <t>Popota</t>
        </is>
      </c>
      <c r="D66" s="26" t="inlineStr">
        <is>
          <t>Eau</t>
        </is>
      </c>
      <c r="E66" s="35" t="inlineStr">
        <is>
          <t>BREAK</t>
        </is>
      </c>
      <c r="F66" s="69" t="inlineStr">
        <is>
          <t>Physique</t>
        </is>
      </c>
      <c r="G66" s="58">
        <f>74+39</f>
        <v/>
      </c>
      <c r="H66" s="54" t="inlineStr">
        <is>
          <t>Water Dash (74)</t>
        </is>
      </c>
      <c r="I66" s="54" t="inlineStr">
        <is>
          <t>Water Cannon (39)</t>
        </is>
      </c>
      <c r="J66" s="54" t="inlineStr">
        <is>
          <t>—</t>
        </is>
      </c>
      <c r="K66" s="70" t="inlineStr">
        <is>
          <t>Fanfaron — bonus quand il est en tête</t>
        </is>
      </c>
      <c r="L66" s="5" t="n">
        <v>74</v>
      </c>
      <c r="M66" s="5" t="n">
        <v>96</v>
      </c>
      <c r="N66" s="5">
        <f>ROUND(M66*L66/100,0)</f>
        <v/>
      </c>
    </row>
    <row r="67" ht="26" customHeight="1">
      <c r="A67" s="5" t="n">
        <v>63</v>
      </c>
      <c r="B67" s="5" t="n"/>
      <c r="C67" s="21" t="inlineStr">
        <is>
          <t>Jawling</t>
        </is>
      </c>
      <c r="D67" s="7" t="inlineStr">
        <is>
          <t>Vent</t>
        </is>
      </c>
      <c r="E67" s="35" t="inlineStr">
        <is>
          <t>BREAK</t>
        </is>
      </c>
      <c r="F67" s="69" t="inlineStr">
        <is>
          <t>Physique</t>
        </is>
      </c>
      <c r="G67" s="58">
        <f>68+45</f>
        <v/>
      </c>
      <c r="H67" s="54" t="inlineStr">
        <is>
          <t>Overcharged Claw Strike (68)</t>
        </is>
      </c>
      <c r="I67" s="54" t="inlineStr">
        <is>
          <t>Wind Tackle (45)</t>
        </is>
      </c>
      <c r="J67" s="54" t="inlineStr">
        <is>
          <t>—</t>
        </is>
      </c>
      <c r="K67" s="70" t="inlineStr">
        <is>
          <t>Offensive intense — enchaînements renforcés</t>
        </is>
      </c>
      <c r="L67" s="5" t="n">
        <v>68</v>
      </c>
      <c r="M67" s="5" t="n">
        <v>64</v>
      </c>
      <c r="N67" s="5">
        <f>ROUND(M67*L67/100,0)</f>
        <v/>
      </c>
    </row>
    <row r="68" ht="26" customHeight="1">
      <c r="A68" s="5" t="n">
        <v>64</v>
      </c>
      <c r="B68" s="5" t="n"/>
      <c r="C68" s="21" t="inlineStr">
        <is>
          <t>Helmwhelp</t>
        </is>
      </c>
      <c r="D68" s="7" t="inlineStr">
        <is>
          <t>Vent</t>
        </is>
      </c>
      <c r="E68" s="35" t="inlineStr">
        <is>
          <t>BREAK</t>
        </is>
      </c>
      <c r="F68" s="69" t="inlineStr">
        <is>
          <t>Physique</t>
        </is>
      </c>
      <c r="G68" s="58">
        <f>68+45</f>
        <v/>
      </c>
      <c r="H68" s="54" t="inlineStr">
        <is>
          <t>Overcharged Claw Strike (68)</t>
        </is>
      </c>
      <c r="I68" s="54" t="inlineStr">
        <is>
          <t>Wind Tackle (45)</t>
        </is>
      </c>
      <c r="J68" s="54" t="inlineStr">
        <is>
          <t>—</t>
        </is>
      </c>
      <c r="K68" s="70" t="inlineStr">
        <is>
          <t>Offensive intense — enchaînements renforcés</t>
        </is>
      </c>
      <c r="L68" s="5" t="n">
        <v>68</v>
      </c>
      <c r="M68" s="5" t="n">
        <v>76</v>
      </c>
      <c r="N68" s="5">
        <f>ROUND(M68*L68/100,0)</f>
        <v/>
      </c>
    </row>
    <row r="69" ht="26" customHeight="1">
      <c r="A69" s="5" t="n">
        <v>65</v>
      </c>
      <c r="B69" s="5" t="n"/>
      <c r="C69" s="21" t="inlineStr">
        <is>
          <t>Hummin</t>
        </is>
      </c>
      <c r="D69" s="27" t="inlineStr">
        <is>
          <t>Plante</t>
        </is>
      </c>
      <c r="E69" s="35" t="inlineStr">
        <is>
          <t>BREAK</t>
        </is>
      </c>
      <c r="F69" s="69" t="inlineStr">
        <is>
          <t>Physique</t>
        </is>
      </c>
      <c r="G69" s="58">
        <f>39+39+30</f>
        <v/>
      </c>
      <c r="H69" s="54" t="inlineStr">
        <is>
          <t>Gravel Tackle (39)</t>
        </is>
      </c>
      <c r="I69" s="54" t="inlineStr">
        <is>
          <t>Plant Charge (39)</t>
        </is>
      </c>
      <c r="J69" s="54" t="inlineStr">
        <is>
          <t>Euphoric Sonic Blast (30)</t>
        </is>
      </c>
      <c r="K69" s="70" t="inlineStr">
        <is>
          <t>Dissuasion — réduit l'agressivité des ennemis</t>
        </is>
      </c>
      <c r="L69" s="5" t="n">
        <v>39</v>
      </c>
      <c r="M69" s="5" t="n">
        <v>60</v>
      </c>
      <c r="N69" s="5">
        <f>ROUND(M69*L69/100,0)</f>
        <v/>
      </c>
    </row>
    <row r="70" ht="26" customHeight="1">
      <c r="A70" s="5" t="n">
        <v>66</v>
      </c>
      <c r="B70" s="5" t="n"/>
      <c r="C70" s="21" t="inlineStr">
        <is>
          <t>Lavazar</t>
        </is>
      </c>
      <c r="D70" s="31" t="inlineStr">
        <is>
          <t>Feu, Roche</t>
        </is>
      </c>
      <c r="E70" s="35" t="inlineStr">
        <is>
          <t>BREAK</t>
        </is>
      </c>
      <c r="F70" s="69" t="inlineStr">
        <is>
          <t>Physique</t>
        </is>
      </c>
      <c r="G70" s="58">
        <f>67+40</f>
        <v/>
      </c>
      <c r="H70" s="54" t="inlineStr">
        <is>
          <t>Fiery Punch (67)</t>
        </is>
      </c>
      <c r="I70" s="54" t="inlineStr">
        <is>
          <t>Lava Breath (40)</t>
        </is>
      </c>
      <c r="J70" s="54" t="inlineStr">
        <is>
          <t>—</t>
        </is>
      </c>
      <c r="K70" s="70" t="inlineStr">
        <is>
          <t>Charge pyrique — accumule de la chaleur</t>
        </is>
      </c>
      <c r="L70" s="5" t="n">
        <v>67</v>
      </c>
      <c r="M70" s="5" t="n">
        <v>82</v>
      </c>
      <c r="N70" s="5">
        <f>ROUND(M70*L70/100,0)</f>
        <v/>
      </c>
    </row>
    <row r="71" ht="26" customHeight="1">
      <c r="A71" s="5" t="n">
        <v>67</v>
      </c>
      <c r="B71" s="5" t="n"/>
      <c r="C71" s="21" t="inlineStr">
        <is>
          <t>Pebbling</t>
        </is>
      </c>
      <c r="D71" s="22" t="inlineStr">
        <is>
          <t>Roche</t>
        </is>
      </c>
      <c r="E71" s="35" t="inlineStr">
        <is>
          <t>BREAK</t>
        </is>
      </c>
      <c r="F71" s="69" t="inlineStr">
        <is>
          <t>Physique</t>
        </is>
      </c>
      <c r="G71" s="58">
        <f>68+33</f>
        <v/>
      </c>
      <c r="H71" s="54" t="inlineStr">
        <is>
          <t>Earth Spikes (68)</t>
        </is>
      </c>
      <c r="I71" s="54" t="inlineStr">
        <is>
          <t>Stone Shell (33)</t>
        </is>
      </c>
      <c r="J71" s="54" t="inlineStr">
        <is>
          <t>—</t>
        </is>
      </c>
      <c r="K71" s="70" t="inlineStr">
        <is>
          <t>Affinité terrestre — dégâts Roche renforcés</t>
        </is>
      </c>
      <c r="L71" s="5" t="n">
        <v>68</v>
      </c>
      <c r="M71" s="5" t="n">
        <v>68</v>
      </c>
      <c r="N71" s="5">
        <f>ROUND(M71*L71/100,0)</f>
        <v/>
      </c>
    </row>
    <row r="72" ht="26" customHeight="1">
      <c r="A72" s="5" t="n">
        <v>68</v>
      </c>
      <c r="B72" s="5" t="n"/>
      <c r="C72" s="21" t="inlineStr">
        <is>
          <t>Geodeback</t>
        </is>
      </c>
      <c r="D72" s="22" t="inlineStr">
        <is>
          <t>Roche</t>
        </is>
      </c>
      <c r="E72" s="35" t="inlineStr">
        <is>
          <t>BREAK</t>
        </is>
      </c>
      <c r="F72" s="69" t="inlineStr">
        <is>
          <t>Physique</t>
        </is>
      </c>
      <c r="G72" s="58">
        <f>68+33</f>
        <v/>
      </c>
      <c r="H72" s="54" t="inlineStr">
        <is>
          <t>Earth Spikes (68)</t>
        </is>
      </c>
      <c r="I72" s="54" t="inlineStr">
        <is>
          <t>Stone Shell (33)</t>
        </is>
      </c>
      <c r="J72" s="54" t="inlineStr">
        <is>
          <t>—</t>
        </is>
      </c>
      <c r="K72" s="70" t="inlineStr">
        <is>
          <t>Affinité terrestre — dégâts Roche renforcés</t>
        </is>
      </c>
      <c r="L72" s="5" t="n">
        <v>68</v>
      </c>
      <c r="M72" s="5" t="n">
        <v>81</v>
      </c>
      <c r="N72" s="5">
        <f>ROUND(M72*L72/100,0)</f>
        <v/>
      </c>
    </row>
    <row r="73" ht="26" customHeight="1">
      <c r="A73" s="5" t="n">
        <v>69</v>
      </c>
      <c r="B73" s="5" t="n"/>
      <c r="C73" s="21" t="inlineStr">
        <is>
          <t>Reefish</t>
        </is>
      </c>
      <c r="D73" s="22" t="inlineStr">
        <is>
          <t>Roche, Eau</t>
        </is>
      </c>
      <c r="E73" s="32" t="inlineStr">
        <is>
          <t>REGEN</t>
        </is>
      </c>
      <c r="F73" s="69" t="inlineStr">
        <is>
          <t>Physique (déduit)</t>
        </is>
      </c>
      <c r="G73" s="58">
        <f>67+28</f>
        <v/>
      </c>
      <c r="H73" s="54" t="inlineStr">
        <is>
          <t>Coral Trap (67)</t>
        </is>
      </c>
      <c r="I73" s="54" t="inlineStr">
        <is>
          <t>Quicksand Slam (28)</t>
        </is>
      </c>
      <c r="J73" s="54" t="inlineStr">
        <is>
          <t>—</t>
        </is>
      </c>
      <c r="K73" s="70" t="inlineStr">
        <is>
          <t>Corail surchargé — pièges électriques</t>
        </is>
      </c>
      <c r="L73" s="5" t="n">
        <v>67</v>
      </c>
      <c r="M73" s="5" t="n">
        <v>66</v>
      </c>
      <c r="N73" s="5">
        <f>ROUND(M73*L73/100,0)</f>
        <v/>
      </c>
    </row>
    <row r="74" ht="26" customHeight="1">
      <c r="A74" s="5" t="n">
        <v>70</v>
      </c>
      <c r="B74" s="5" t="n"/>
      <c r="C74" s="21" t="inlineStr">
        <is>
          <t>Melloblum</t>
        </is>
      </c>
      <c r="D74" s="27" t="inlineStr">
        <is>
          <t>Plante</t>
        </is>
      </c>
      <c r="E74" s="8" t="inlineStr">
        <is>
          <t>SUPPORT</t>
        </is>
      </c>
      <c r="F74" s="71" t="inlineStr">
        <is>
          <t>Magique</t>
        </is>
      </c>
      <c r="G74" s="58">
        <f>40+40+14</f>
        <v/>
      </c>
      <c r="H74" s="54" t="inlineStr">
        <is>
          <t>Healing Rose (40)</t>
        </is>
      </c>
      <c r="I74" s="54" t="inlineStr">
        <is>
          <t>Blasting Roses (40)</t>
        </is>
      </c>
      <c r="J74" s="54" t="inlineStr">
        <is>
          <t>Thorny Blessing (14)</t>
        </is>
      </c>
      <c r="K74" s="70" t="inlineStr">
        <is>
          <t>Cœur d'épines — renvoie une partie des dégâts</t>
        </is>
      </c>
      <c r="L74" s="5" t="n">
        <v>40</v>
      </c>
      <c r="M74" s="5" t="n">
        <v>108</v>
      </c>
      <c r="N74" s="5">
        <f>ROUND(M74*L74/100,0)</f>
        <v/>
      </c>
    </row>
    <row r="75" ht="26" customHeight="1">
      <c r="A75" s="5" t="n">
        <v>71</v>
      </c>
      <c r="B75" s="5" t="n"/>
      <c r="C75" s="21" t="inlineStr">
        <is>
          <t>Cubbo</t>
        </is>
      </c>
      <c r="D75" s="22" t="inlineStr">
        <is>
          <t>Roche</t>
        </is>
      </c>
      <c r="E75" s="15" t="inlineStr">
        <is>
          <t>DPS</t>
        </is>
      </c>
      <c r="F75" s="69" t="inlineStr">
        <is>
          <t>Physique</t>
        </is>
      </c>
      <c r="G75" s="58">
        <f>53+40</f>
        <v/>
      </c>
      <c r="H75" s="54" t="inlineStr">
        <is>
          <t>Earthquake (53)</t>
        </is>
      </c>
      <c r="I75" s="54" t="inlineStr">
        <is>
          <t>Fanatic Clawing (40)</t>
        </is>
      </c>
      <c r="J75" s="54" t="inlineStr">
        <is>
          <t>—</t>
        </is>
      </c>
      <c r="K75" s="70" t="inlineStr">
        <is>
          <t>Résurrection enragée — se relève avec un bonus d'attaque</t>
        </is>
      </c>
      <c r="L75" s="5" t="n">
        <v>53</v>
      </c>
      <c r="M75" s="5" t="n">
        <v>107</v>
      </c>
      <c r="N75" s="5">
        <f>ROUND(M75*L75/100,0)</f>
        <v/>
      </c>
    </row>
    <row r="76" ht="26" customHeight="1">
      <c r="A76" s="5" t="n">
        <v>72</v>
      </c>
      <c r="B76" s="5" t="n"/>
      <c r="C76" s="21" t="inlineStr">
        <is>
          <t>Glacy</t>
        </is>
      </c>
      <c r="D76" s="26" t="inlineStr">
        <is>
          <t>Eau, Glace</t>
        </is>
      </c>
      <c r="E76" s="34" t="inlineStr">
        <is>
          <t>HEAL</t>
        </is>
      </c>
      <c r="F76" s="71" t="inlineStr">
        <is>
          <t>Magique</t>
        </is>
      </c>
      <c r="G76" s="58">
        <f>32+30+30</f>
        <v/>
      </c>
      <c r="H76" s="54" t="inlineStr">
        <is>
          <t>Bubble Rush (32)</t>
        </is>
      </c>
      <c r="I76" s="54" t="inlineStr">
        <is>
          <t>Ice Orb (30)</t>
        </is>
      </c>
      <c r="J76" s="54" t="inlineStr">
        <is>
          <t>Water Orb (30)</t>
        </is>
      </c>
      <c r="K76" s="70" t="inlineStr">
        <is>
          <t>Esprit de l'eau — affinité Eau renforcée</t>
        </is>
      </c>
      <c r="L76" s="5" t="n">
        <v>32</v>
      </c>
      <c r="M76" s="5" t="n">
        <v>90</v>
      </c>
      <c r="N76" s="5">
        <f>ROUND(M76*L76/100,0)</f>
        <v/>
      </c>
    </row>
    <row r="77" ht="26" customHeight="1">
      <c r="A77" s="5" t="n">
        <v>73</v>
      </c>
      <c r="B77" s="5" t="n"/>
      <c r="C77" s="21" t="inlineStr">
        <is>
          <t>Fragrancier</t>
        </is>
      </c>
      <c r="D77" s="18" t="inlineStr">
        <is>
          <t>Ténèbres</t>
        </is>
      </c>
      <c r="E77" s="8" t="inlineStr">
        <is>
          <t>SUPPORT</t>
        </is>
      </c>
      <c r="F77" s="71" t="inlineStr">
        <is>
          <t>Magique</t>
        </is>
      </c>
      <c r="G77" s="58">
        <f>38+30+22</f>
        <v/>
      </c>
      <c r="H77" s="54" t="inlineStr">
        <is>
          <t>Blossoming Moment (38)</t>
        </is>
      </c>
      <c r="I77" s="54" t="inlineStr">
        <is>
          <t>Fragrance Marking (30)</t>
        </is>
      </c>
      <c r="J77" s="54" t="inlineStr">
        <is>
          <t>Withering Bloom (22)</t>
        </is>
      </c>
      <c r="K77" s="70" t="inlineStr">
        <is>
          <t>Fantôme — furtivité et marquage</t>
        </is>
      </c>
      <c r="L77" s="5" t="n">
        <v>38</v>
      </c>
      <c r="M77" s="5" t="n">
        <v>106</v>
      </c>
      <c r="N77" s="5">
        <f>ROUND(M77*L77/100,0)</f>
        <v/>
      </c>
    </row>
    <row r="78" ht="26" customHeight="1">
      <c r="A78" s="5" t="n">
        <v>74</v>
      </c>
      <c r="B78" s="5" t="n"/>
      <c r="C78" s="21" t="inlineStr">
        <is>
          <t>Turbo</t>
        </is>
      </c>
      <c r="D78" s="7" t="inlineStr">
        <is>
          <t>Vent</t>
        </is>
      </c>
      <c r="E78" s="8" t="inlineStr">
        <is>
          <t>SUPPORT</t>
        </is>
      </c>
      <c r="F78" s="71" t="inlineStr">
        <is>
          <t>Magique</t>
        </is>
      </c>
      <c r="G78" s="58">
        <f>30+30+30</f>
        <v/>
      </c>
      <c r="H78" s="54" t="inlineStr">
        <is>
          <t>Nimbi Burst (30)</t>
        </is>
      </c>
      <c r="I78" s="54" t="inlineStr">
        <is>
          <t>Nebula Burst (30)</t>
        </is>
      </c>
      <c r="J78" s="54" t="inlineStr">
        <is>
          <t>Cloud Orb (30)</t>
        </is>
      </c>
      <c r="K78" s="70" t="inlineStr">
        <is>
          <t>Nonchalant — récupération passive</t>
        </is>
      </c>
      <c r="L78" s="5" t="n">
        <v>30</v>
      </c>
      <c r="M78" s="5" t="n">
        <v>90</v>
      </c>
      <c r="N78" s="5">
        <f>ROUND(M78*L78/100,0)</f>
        <v/>
      </c>
    </row>
    <row r="79" ht="26" customHeight="1">
      <c r="A79" s="5" t="n">
        <v>75</v>
      </c>
      <c r="B79" s="5" t="n"/>
      <c r="C79" s="21" t="inlineStr">
        <is>
          <t>Sparki</t>
        </is>
      </c>
      <c r="D79" s="31" t="inlineStr">
        <is>
          <t>Feu</t>
        </is>
      </c>
      <c r="E79" s="32" t="inlineStr">
        <is>
          <t>REGEN</t>
        </is>
      </c>
      <c r="F79" s="71" t="inlineStr">
        <is>
          <t>Magique</t>
        </is>
      </c>
      <c r="G79" s="58">
        <f>50+35</f>
        <v/>
      </c>
      <c r="H79" s="54" t="inlineStr">
        <is>
          <t>Fire Orb (50)</t>
        </is>
      </c>
      <c r="I79" s="54" t="inlineStr">
        <is>
          <t>Trick Fire Ring (35)</t>
        </is>
      </c>
      <c r="J79" s="54" t="inlineStr">
        <is>
          <t>—</t>
        </is>
      </c>
      <c r="K79" s="70" t="inlineStr">
        <is>
          <t>Flammes rugissantes — dégâts de feu renforcés</t>
        </is>
      </c>
      <c r="L79" s="5" t="n">
        <v>50</v>
      </c>
      <c r="M79" s="5" t="n">
        <v>92</v>
      </c>
      <c r="N79" s="5">
        <f>ROUND(M79*L79/100,0)</f>
        <v/>
      </c>
    </row>
    <row r="80" ht="26" customHeight="1">
      <c r="A80" s="5" t="n">
        <v>76</v>
      </c>
      <c r="B80" s="5" t="n"/>
      <c r="C80" s="21" t="inlineStr">
        <is>
          <t>Eklue</t>
        </is>
      </c>
      <c r="D80" s="7" t="inlineStr">
        <is>
          <t>Vent</t>
        </is>
      </c>
      <c r="E80" s="8" t="inlineStr">
        <is>
          <t>SUPPORT</t>
        </is>
      </c>
      <c r="F80" s="69" t="inlineStr">
        <is>
          <t>Physique</t>
        </is>
      </c>
      <c r="G80" s="58">
        <f>45+20+20</f>
        <v/>
      </c>
      <c r="H80" s="54" t="inlineStr">
        <is>
          <t>Tactical Kick (45)</t>
        </is>
      </c>
      <c r="I80" s="54" t="inlineStr">
        <is>
          <t>Ice Arc Strike (20)</t>
        </is>
      </c>
      <c r="J80" s="54" t="inlineStr">
        <is>
          <t>Arc Strike (20)</t>
        </is>
      </c>
      <c r="K80" s="70" t="inlineStr">
        <is>
          <t>Lecture des failles — révèle et exploite les faiblesses</t>
        </is>
      </c>
      <c r="L80" s="5" t="n">
        <v>45</v>
      </c>
      <c r="M80" s="5" t="n">
        <v>132</v>
      </c>
      <c r="N80" s="5">
        <f>ROUND(M80*L80/100,0)</f>
        <v/>
      </c>
    </row>
    <row r="81" ht="26" customHeight="1">
      <c r="A81" s="5" t="n">
        <v>77</v>
      </c>
      <c r="B81" s="5" t="n"/>
      <c r="C81" s="21" t="inlineStr">
        <is>
          <t>Bulbly</t>
        </is>
      </c>
      <c r="D81" s="14" t="inlineStr">
        <is>
          <t>Foudre</t>
        </is>
      </c>
      <c r="E81" s="8" t="inlineStr">
        <is>
          <t>SUPPORT</t>
        </is>
      </c>
      <c r="F81" s="71" t="inlineStr">
        <is>
          <t>Magique</t>
        </is>
      </c>
      <c r="G81" s="58">
        <f>53+20</f>
        <v/>
      </c>
      <c r="H81" s="54" t="inlineStr">
        <is>
          <t>Swift Retreat (53)</t>
        </is>
      </c>
      <c r="I81" s="54" t="inlineStr">
        <is>
          <t>Lightning Discharge (20)</t>
        </is>
      </c>
      <c r="J81" s="54" t="inlineStr">
        <is>
          <t>—</t>
        </is>
      </c>
      <c r="K81" s="70" t="inlineStr">
        <is>
          <t>Soin rapide — +10% d'efficacité des soins</t>
        </is>
      </c>
      <c r="L81" s="5" t="n">
        <v>53</v>
      </c>
      <c r="M81" s="5" t="n">
        <v>68</v>
      </c>
      <c r="N81" s="5">
        <f>ROUND(M81*L81/100,0)</f>
        <v/>
      </c>
    </row>
    <row r="82" ht="26" customHeight="1">
      <c r="A82" s="5" t="n">
        <v>78</v>
      </c>
      <c r="B82" s="5" t="n"/>
      <c r="C82" s="21" t="inlineStr">
        <is>
          <t>Veilfloat</t>
        </is>
      </c>
      <c r="D82" s="14" t="inlineStr">
        <is>
          <t>Foudre</t>
        </is>
      </c>
      <c r="E82" s="8" t="inlineStr">
        <is>
          <t>SUPPORT</t>
        </is>
      </c>
      <c r="F82" s="71" t="inlineStr">
        <is>
          <t>Magique</t>
        </is>
      </c>
      <c r="G82" s="58">
        <f>53+20</f>
        <v/>
      </c>
      <c r="H82" s="54" t="inlineStr">
        <is>
          <t>Swift Retreat (53)</t>
        </is>
      </c>
      <c r="I82" s="54" t="inlineStr">
        <is>
          <t>Lightning Discharge (20)</t>
        </is>
      </c>
      <c r="J82" s="54" t="inlineStr">
        <is>
          <t>—</t>
        </is>
      </c>
      <c r="K82" s="70" t="inlineStr">
        <is>
          <t>Soin rapide — +10% d'efficacité des soins</t>
        </is>
      </c>
      <c r="L82" s="5" t="n">
        <v>53</v>
      </c>
      <c r="M82" s="5" t="n">
        <v>81</v>
      </c>
      <c r="N82" s="5">
        <f>ROUND(M82*L82/100,0)</f>
        <v/>
      </c>
    </row>
    <row r="83" ht="26" customHeight="1">
      <c r="A83" s="5" t="n">
        <v>79</v>
      </c>
      <c r="B83" s="5" t="n"/>
      <c r="C83" s="21" t="inlineStr">
        <is>
          <t>Iris</t>
        </is>
      </c>
      <c r="D83" s="27" t="inlineStr">
        <is>
          <t>Plante</t>
        </is>
      </c>
      <c r="E83" s="15" t="inlineStr">
        <is>
          <t>DPS</t>
        </is>
      </c>
      <c r="F83" s="71" t="inlineStr">
        <is>
          <t>Magique</t>
        </is>
      </c>
      <c r="G83" s="58">
        <f>46+26</f>
        <v/>
      </c>
      <c r="H83" s="54" t="inlineStr">
        <is>
          <t>Vortex of Petals (46)</t>
        </is>
      </c>
      <c r="I83" s="54" t="inlineStr">
        <is>
          <t>Floral Storm (26)</t>
        </is>
      </c>
      <c r="J83" s="54" t="inlineStr">
        <is>
          <t>—</t>
        </is>
      </c>
      <c r="K83" s="70" t="inlineStr">
        <is>
          <t>Aniimo disco — bonus lié à la danse</t>
        </is>
      </c>
      <c r="L83" s="5" t="n">
        <v>46</v>
      </c>
      <c r="M83" s="5" t="n">
        <v>101</v>
      </c>
      <c r="N83" s="5">
        <f>ROUND(M83*L83/100,0)</f>
        <v/>
      </c>
    </row>
    <row r="84" ht="26" customHeight="1">
      <c r="A84" s="5" t="n">
        <v>80</v>
      </c>
      <c r="B84" s="5" t="n"/>
      <c r="C84" s="21" t="inlineStr">
        <is>
          <t>Eko</t>
        </is>
      </c>
      <c r="D84" s="7" t="inlineStr">
        <is>
          <t>Vent</t>
        </is>
      </c>
      <c r="E84" s="8" t="inlineStr">
        <is>
          <t>SUPPORT</t>
        </is>
      </c>
      <c r="F84" s="69" t="inlineStr">
        <is>
          <t>Physique</t>
        </is>
      </c>
      <c r="G84" s="58">
        <f>30+20+20</f>
        <v/>
      </c>
      <c r="H84" s="54" t="inlineStr">
        <is>
          <t>Sonar Attack (30)</t>
        </is>
      </c>
      <c r="I84" s="54" t="inlineStr">
        <is>
          <t>Ice Arc Strike (20)</t>
        </is>
      </c>
      <c r="J84" s="54" t="inlineStr">
        <is>
          <t>Arc Strike (20)</t>
        </is>
      </c>
      <c r="K84" s="70" t="inlineStr">
        <is>
          <t>Lecture des failles — révèle et exploite les faiblesses</t>
        </is>
      </c>
      <c r="L84" s="5" t="n">
        <v>30</v>
      </c>
      <c r="M84" s="5" t="n">
        <v>112</v>
      </c>
      <c r="N84" s="5">
        <f>ROUND(M84*L84/100,0)</f>
        <v/>
      </c>
    </row>
    <row r="85" ht="26" customHeight="1">
      <c r="A85" s="5" t="n">
        <v>81</v>
      </c>
      <c r="B85" s="5" t="n"/>
      <c r="C85" s="21" t="inlineStr">
        <is>
          <t>Bolty</t>
        </is>
      </c>
      <c r="D85" s="14" t="inlineStr">
        <is>
          <t>Foudre</t>
        </is>
      </c>
      <c r="E85" s="35" t="inlineStr">
        <is>
          <t>BREAK</t>
        </is>
      </c>
      <c r="F85" s="69" t="inlineStr">
        <is>
          <t>Physique</t>
        </is>
      </c>
      <c r="G85" s="58">
        <f>48+20</f>
        <v/>
      </c>
      <c r="H85" s="54" t="inlineStr">
        <is>
          <t>High-Voltage Dash (48)</t>
        </is>
      </c>
      <c r="I85" s="54" t="inlineStr">
        <is>
          <t>Thunder Tail (20)</t>
        </is>
      </c>
      <c r="J85" s="54" t="inlineStr">
        <is>
          <t>—</t>
        </is>
      </c>
      <c r="K85" s="70" t="inlineStr">
        <is>
          <t>Endurance de puissance — en état d'excitation, tous les dégâts comptent comme critiques</t>
        </is>
      </c>
      <c r="L85" s="5" t="n">
        <v>48</v>
      </c>
      <c r="M85" s="5" t="n">
        <v>85</v>
      </c>
      <c r="N85" s="5">
        <f>ROUND(M85*L85/100,0)</f>
        <v/>
      </c>
    </row>
    <row r="86" ht="26" customHeight="1">
      <c r="A86" s="5" t="n">
        <v>82</v>
      </c>
      <c r="B86" s="5" t="n"/>
      <c r="C86" s="21" t="inlineStr">
        <is>
          <t>Skippy</t>
        </is>
      </c>
      <c r="D86" s="26" t="inlineStr">
        <is>
          <t>Eau</t>
        </is>
      </c>
      <c r="E86" s="34" t="inlineStr">
        <is>
          <t>HEAL</t>
        </is>
      </c>
      <c r="F86" s="71" t="inlineStr">
        <is>
          <t>Magique</t>
        </is>
      </c>
      <c r="G86" s="58">
        <f>30+30</f>
        <v/>
      </c>
      <c r="H86" s="54" t="inlineStr">
        <is>
          <t>Water Orb (30)</t>
        </is>
      </c>
      <c r="I86" s="54" t="inlineStr">
        <is>
          <t>Ice Orb (30)</t>
        </is>
      </c>
      <c r="J86" s="54" t="inlineStr">
        <is>
          <t>—</t>
        </is>
      </c>
      <c r="K86" s="70" t="inlineStr">
        <is>
          <t>Esprit de l'eau — affinité Eau renforcée</t>
        </is>
      </c>
      <c r="L86" s="5" t="n">
        <v>30</v>
      </c>
      <c r="M86" s="5" t="n">
        <v>54</v>
      </c>
      <c r="N86" s="5">
        <f>ROUND(M86*L86/100,0)</f>
        <v/>
      </c>
    </row>
    <row r="87" ht="26" customHeight="1">
      <c r="A87" s="5" t="n">
        <v>83</v>
      </c>
      <c r="B87" s="5" t="n"/>
      <c r="C87" s="21" t="inlineStr">
        <is>
          <t>Pranky</t>
        </is>
      </c>
      <c r="D87" s="26" t="inlineStr">
        <is>
          <t>Eau</t>
        </is>
      </c>
      <c r="E87" s="34" t="inlineStr">
        <is>
          <t>HEAL</t>
        </is>
      </c>
      <c r="F87" s="71" t="inlineStr">
        <is>
          <t>Magique</t>
        </is>
      </c>
      <c r="G87" s="58">
        <f>30+30</f>
        <v/>
      </c>
      <c r="H87" s="54" t="inlineStr">
        <is>
          <t>Water Orb (30)</t>
        </is>
      </c>
      <c r="I87" s="54" t="inlineStr">
        <is>
          <t>Ice Orb (30)</t>
        </is>
      </c>
      <c r="J87" s="54" t="inlineStr">
        <is>
          <t>—</t>
        </is>
      </c>
      <c r="K87" s="70" t="inlineStr">
        <is>
          <t>Esprit de l'eau — affinité Eau renforcée</t>
        </is>
      </c>
      <c r="L87" s="5" t="n">
        <v>30</v>
      </c>
      <c r="M87" s="5" t="n">
        <v>81</v>
      </c>
      <c r="N87" s="5">
        <f>ROUND(M87*L87/100,0)</f>
        <v/>
      </c>
    </row>
    <row r="88" ht="26" customHeight="1">
      <c r="A88" s="5" t="n">
        <v>84</v>
      </c>
      <c r="B88" s="5" t="n"/>
      <c r="C88" s="21" t="inlineStr">
        <is>
          <t>Nimbi</t>
        </is>
      </c>
      <c r="D88" s="7" t="inlineStr">
        <is>
          <t>Vent</t>
        </is>
      </c>
      <c r="E88" s="8" t="inlineStr">
        <is>
          <t>SUPPORT</t>
        </is>
      </c>
      <c r="F88" s="71" t="inlineStr">
        <is>
          <t>Magique</t>
        </is>
      </c>
      <c r="G88" s="58">
        <f>30+30</f>
        <v/>
      </c>
      <c r="H88" s="54" t="inlineStr">
        <is>
          <t>Cloud Orb (30)</t>
        </is>
      </c>
      <c r="I88" s="54" t="inlineStr">
        <is>
          <t>Thunder Bolt (30)</t>
        </is>
      </c>
      <c r="J88" s="54" t="inlineStr">
        <is>
          <t>—</t>
        </is>
      </c>
      <c r="K88" s="70" t="inlineStr">
        <is>
          <t>Nonchalant — récupération passive</t>
        </is>
      </c>
      <c r="L88" s="5" t="n">
        <v>30</v>
      </c>
      <c r="M88" s="5" t="n">
        <v>76</v>
      </c>
      <c r="N88" s="5">
        <f>ROUND(M88*L88/100,0)</f>
        <v/>
      </c>
    </row>
    <row r="89" ht="26" customHeight="1">
      <c r="A89" s="5" t="n">
        <v>85</v>
      </c>
      <c r="B89" s="5" t="n"/>
      <c r="C89" s="21" t="inlineStr">
        <is>
          <t>Somniwing</t>
        </is>
      </c>
      <c r="D89" s="7" t="inlineStr">
        <is>
          <t>Vent, Plante</t>
        </is>
      </c>
      <c r="E89" s="32" t="inlineStr">
        <is>
          <t>REGEN</t>
        </is>
      </c>
      <c r="F89" s="71" t="inlineStr">
        <is>
          <t>Magique</t>
        </is>
      </c>
      <c r="G89" s="58">
        <f>30+28</f>
        <v/>
      </c>
      <c r="H89" s="54" t="inlineStr">
        <is>
          <t>Energy Orb (30)</t>
        </is>
      </c>
      <c r="I89" s="54" t="inlineStr">
        <is>
          <t>Hypnotic Spores (28)</t>
        </is>
      </c>
      <c r="J89" s="54" t="inlineStr">
        <is>
          <t>—</t>
        </is>
      </c>
      <c r="K89" s="70" t="inlineStr">
        <is>
          <t>Pleine énergie — +20 de plafond d'EP pour TOUTE l'équipe</t>
        </is>
      </c>
      <c r="L89" s="5" t="n">
        <v>30</v>
      </c>
      <c r="M89" s="5" t="n">
        <v>92</v>
      </c>
      <c r="N89" s="5">
        <f>ROUND(M89*L89/100,0)</f>
        <v/>
      </c>
    </row>
    <row r="90" ht="26" customHeight="1">
      <c r="A90" s="5" t="n">
        <v>86</v>
      </c>
      <c r="B90" s="5" t="n"/>
      <c r="C90" s="21" t="inlineStr">
        <is>
          <t>Fentuft</t>
        </is>
      </c>
      <c r="D90" s="14" t="inlineStr">
        <is>
          <t>Foudre</t>
        </is>
      </c>
      <c r="E90" s="15" t="inlineStr">
        <is>
          <t>DPS</t>
        </is>
      </c>
      <c r="F90" s="71" t="inlineStr">
        <is>
          <t>Magique</t>
        </is>
      </c>
      <c r="G90" s="58">
        <f>50+1</f>
        <v/>
      </c>
      <c r="H90" s="54" t="inlineStr">
        <is>
          <t>Lightning Dart (50)</t>
        </is>
      </c>
      <c r="I90" s="54" t="inlineStr">
        <is>
          <t>Thunder Field (1)</t>
        </is>
      </c>
      <c r="J90" s="54" t="inlineStr">
        <is>
          <t>—</t>
        </is>
      </c>
      <c r="K90" s="70" t="inlineStr">
        <is>
          <t>Charge électrique — accumule de la foudre</t>
        </is>
      </c>
      <c r="L90" s="5" t="n">
        <v>50</v>
      </c>
      <c r="M90" s="5" t="n">
        <v>106</v>
      </c>
      <c r="N90" s="5">
        <f>ROUND(M90*L90/100,0)</f>
        <v/>
      </c>
    </row>
    <row r="91" ht="26" customHeight="1">
      <c r="A91" s="5" t="n">
        <v>87</v>
      </c>
      <c r="B91" s="5" t="n"/>
      <c r="C91" s="21" t="inlineStr">
        <is>
          <t>Bubbeep</t>
        </is>
      </c>
      <c r="D91" s="27" t="inlineStr">
        <is>
          <t>Plante, Eau</t>
        </is>
      </c>
      <c r="E91" s="34" t="inlineStr">
        <is>
          <t>HEAL</t>
        </is>
      </c>
      <c r="F91" s="71" t="inlineStr">
        <is>
          <t>Magique</t>
        </is>
      </c>
      <c r="G91" s="58">
        <f>50+0</f>
        <v/>
      </c>
      <c r="H91" s="54" t="inlineStr">
        <is>
          <t>Baa-Baa Sweetbubb (50)</t>
        </is>
      </c>
      <c r="I91" s="54" t="inlineStr">
        <is>
          <t>Baa-Baa Healbubb (0)</t>
        </is>
      </c>
      <c r="J91" s="54" t="inlineStr">
        <is>
          <t>—</t>
        </is>
      </c>
      <c r="K91" s="70" t="inlineStr">
        <is>
          <t>Énergie de bulle — soins en bulles</t>
        </is>
      </c>
      <c r="L91" s="5" t="n">
        <v>50</v>
      </c>
      <c r="M91" s="5" t="n">
        <v>85</v>
      </c>
      <c r="N91" s="5">
        <f>ROUND(M91*L91/100,0)</f>
        <v/>
      </c>
    </row>
    <row r="92" ht="26" customHeight="1">
      <c r="A92" s="5" t="n">
        <v>88</v>
      </c>
      <c r="B92" s="5" t="n"/>
      <c r="C92" s="21" t="inlineStr">
        <is>
          <t>Erlath</t>
        </is>
      </c>
      <c r="D92" s="26" t="inlineStr">
        <is>
          <t>Eau</t>
        </is>
      </c>
      <c r="E92" s="32" t="inlineStr">
        <is>
          <t>REGEN</t>
        </is>
      </c>
      <c r="F92" s="71" t="inlineStr">
        <is>
          <t>Magique</t>
        </is>
      </c>
      <c r="G92" s="58">
        <f>30+20</f>
        <v/>
      </c>
      <c r="H92" s="54" t="inlineStr">
        <is>
          <t>Bubble Blast (30)</t>
        </is>
      </c>
      <c r="I92" s="54" t="inlineStr">
        <is>
          <t>Here Comes the Bubble (20)</t>
        </is>
      </c>
      <c r="J92" s="54" t="inlineStr">
        <is>
          <t>—</t>
        </is>
      </c>
      <c r="K92" s="70" t="inlineStr">
        <is>
          <t>Écume — soins de zone</t>
        </is>
      </c>
      <c r="L92" s="5" t="n">
        <v>30</v>
      </c>
      <c r="M92" s="5" t="n">
        <v>90</v>
      </c>
      <c r="N92" s="5">
        <f>ROUND(M92*L92/100,0)</f>
        <v/>
      </c>
    </row>
    <row r="93" ht="26" customHeight="1">
      <c r="A93" s="5" t="n">
        <v>89</v>
      </c>
      <c r="B93" s="5" t="n"/>
      <c r="C93" s="21" t="inlineStr">
        <is>
          <t>Leafy</t>
        </is>
      </c>
      <c r="D93" s="27" t="inlineStr">
        <is>
          <t>Plante, Eau</t>
        </is>
      </c>
      <c r="E93" s="32" t="inlineStr">
        <is>
          <t>REGEN</t>
        </is>
      </c>
      <c r="F93" s="71" t="inlineStr">
        <is>
          <t>Magique</t>
        </is>
      </c>
      <c r="G93" s="58">
        <f>33+16</f>
        <v/>
      </c>
      <c r="H93" s="54" t="inlineStr">
        <is>
          <t>Cyclone of Leaves (33)</t>
        </is>
      </c>
      <c r="I93" s="54" t="inlineStr">
        <is>
          <t>Vine Entanglement (16)</t>
        </is>
      </c>
      <c r="J93" s="54" t="inlineStr">
        <is>
          <t>—</t>
        </is>
      </c>
      <c r="K93" s="70" t="inlineStr">
        <is>
          <t>Bienveillance — renforce les soins prodigués</t>
        </is>
      </c>
      <c r="L93" s="5" t="n">
        <v>33</v>
      </c>
      <c r="M93" s="5" t="n">
        <v>90</v>
      </c>
      <c r="N93" s="5">
        <f>ROUND(M93*L93/100,0)</f>
        <v/>
      </c>
    </row>
    <row r="94" ht="26" customHeight="1">
      <c r="A94" s="5" t="n">
        <v>90</v>
      </c>
      <c r="B94" s="5" t="n"/>
      <c r="C94" s="21" t="inlineStr">
        <is>
          <t>Dewy</t>
        </is>
      </c>
      <c r="D94" s="18" t="inlineStr">
        <is>
          <t>Ténèbres</t>
        </is>
      </c>
      <c r="E94" s="8" t="inlineStr">
        <is>
          <t>SUPPORT</t>
        </is>
      </c>
      <c r="F94" s="71" t="inlineStr">
        <is>
          <t>Magique</t>
        </is>
      </c>
      <c r="G94" s="58">
        <f>38+10</f>
        <v/>
      </c>
      <c r="H94" s="54" t="inlineStr">
        <is>
          <t>Blossoming Moment (38)</t>
        </is>
      </c>
      <c r="I94" s="54" t="inlineStr">
        <is>
          <t>Withering Bloom (10)</t>
        </is>
      </c>
      <c r="J94" s="54" t="inlineStr">
        <is>
          <t>—</t>
        </is>
      </c>
      <c r="K94" s="70" t="inlineStr">
        <is>
          <t>Fantôme — furtivité et marquage</t>
        </is>
      </c>
      <c r="L94" s="5" t="n">
        <v>38</v>
      </c>
      <c r="M94" s="5" t="n">
        <v>90</v>
      </c>
      <c r="N94" s="5">
        <f>ROUND(M94*L94/100,0)</f>
        <v/>
      </c>
    </row>
    <row r="95" ht="26" customHeight="1">
      <c r="A95" s="5" t="n">
        <v>91</v>
      </c>
      <c r="B95" s="5" t="n"/>
      <c r="C95" s="21" t="inlineStr">
        <is>
          <t>Malangel</t>
        </is>
      </c>
      <c r="D95" s="23" t="inlineStr">
        <is>
          <t>Glace</t>
        </is>
      </c>
      <c r="E95" s="15" t="inlineStr">
        <is>
          <t>DPS</t>
        </is>
      </c>
      <c r="F95" s="69" t="inlineStr">
        <is>
          <t>Physique</t>
        </is>
      </c>
      <c r="G95" s="58">
        <f>33+13</f>
        <v/>
      </c>
      <c r="H95" s="54" t="inlineStr">
        <is>
          <t>Wild Dance (33)</t>
        </is>
      </c>
      <c r="I95" s="54" t="inlineStr">
        <is>
          <t>Demon Steps (13)</t>
        </is>
      </c>
      <c r="J95" s="54" t="inlineStr">
        <is>
          <t>—</t>
        </is>
      </c>
      <c r="K95" s="70" t="inlineStr">
        <is>
          <t>Marque de givre — cumule des marques de gel</t>
        </is>
      </c>
      <c r="L95" s="5" t="n">
        <v>33</v>
      </c>
      <c r="M95" s="5" t="n">
        <v>105</v>
      </c>
      <c r="N95" s="5">
        <f>ROUND(M95*L95/100,0)</f>
        <v/>
      </c>
    </row>
    <row r="96" ht="26" customHeight="1">
      <c r="A96" s="5" t="n">
        <v>92</v>
      </c>
      <c r="B96" s="5" t="n"/>
      <c r="C96" s="21" t="inlineStr">
        <is>
          <t>Cozite</t>
        </is>
      </c>
      <c r="D96" s="22" t="inlineStr">
        <is>
          <t>Roche</t>
        </is>
      </c>
      <c r="E96" s="8" t="inlineStr">
        <is>
          <t>SUPPORT</t>
        </is>
      </c>
      <c r="F96" s="71" t="inlineStr">
        <is>
          <t>Magique</t>
        </is>
      </c>
      <c r="G96" s="58">
        <f>31+0</f>
        <v/>
      </c>
      <c r="H96" s="54" t="inlineStr">
        <is>
          <t>Roll Out (31)</t>
        </is>
      </c>
      <c r="I96" s="54" t="inlineStr">
        <is>
          <t>Smoke Screen (0)</t>
        </is>
      </c>
      <c r="J96" s="54" t="inlineStr">
        <is>
          <t>—</t>
        </is>
      </c>
      <c r="K96" s="70" t="inlineStr">
        <is>
          <t>Érosion puissante — réduit la défense des cibles</t>
        </is>
      </c>
      <c r="L96" s="5" t="n">
        <v>31</v>
      </c>
      <c r="M96" s="5" t="n">
        <v>77</v>
      </c>
      <c r="N96" s="5">
        <f>ROUND(M96*L96/100,0)</f>
        <v/>
      </c>
    </row>
    <row r="97" ht="26" customHeight="1">
      <c r="A97" s="5" t="n">
        <v>93</v>
      </c>
      <c r="B97" s="5" t="n"/>
      <c r="C97" s="21" t="inlineStr">
        <is>
          <t>Fahloo</t>
        </is>
      </c>
      <c r="D97" s="26" t="inlineStr">
        <is>
          <t>Eau</t>
        </is>
      </c>
      <c r="E97" s="32" t="inlineStr">
        <is>
          <t>REGEN</t>
        </is>
      </c>
      <c r="F97" s="71" t="inlineStr">
        <is>
          <t>Magique</t>
        </is>
      </c>
      <c r="G97" s="58">
        <f>30+0</f>
        <v/>
      </c>
      <c r="H97" s="54" t="inlineStr">
        <is>
          <t>Bubble Blast (30)</t>
        </is>
      </c>
      <c r="I97" s="54" t="inlineStr">
        <is>
          <t>Here Comes the Bubble (0)</t>
        </is>
      </c>
      <c r="J97" s="54" t="inlineStr">
        <is>
          <t>—</t>
        </is>
      </c>
      <c r="K97" s="70" t="inlineStr">
        <is>
          <t>Bulle — protection en bulle</t>
        </is>
      </c>
      <c r="L97" s="5" t="n">
        <v>30</v>
      </c>
      <c r="M97" s="5" t="n">
        <v>76</v>
      </c>
      <c r="N97" s="5">
        <f>ROUND(M97*L97/100,0)</f>
        <v/>
      </c>
    </row>
    <row r="98" ht="26" customHeight="1">
      <c r="A98" s="5" t="n">
        <v>94</v>
      </c>
      <c r="B98" s="5" t="n"/>
      <c r="C98" s="21" t="inlineStr">
        <is>
          <t>Flutternym</t>
        </is>
      </c>
      <c r="D98" s="7" t="inlineStr">
        <is>
          <t>Vent</t>
        </is>
      </c>
      <c r="E98" s="34" t="inlineStr">
        <is>
          <t>HEAL</t>
        </is>
      </c>
      <c r="F98" s="72" t="inlineStr">
        <is>
          <t>Soin</t>
        </is>
      </c>
      <c r="G98" s="58">
        <f>0+0+0</f>
        <v/>
      </c>
      <c r="H98" s="54" t="inlineStr">
        <is>
          <t>Purifying Dance (0)</t>
        </is>
      </c>
      <c r="I98" s="54" t="inlineStr">
        <is>
          <t>Healing Dance (0)</t>
        </is>
      </c>
      <c r="J98" s="54" t="inlineStr">
        <is>
          <t>Wind of Rejuvenation (0)</t>
        </is>
      </c>
      <c r="K98" s="70" t="inlineStr">
        <is>
          <t>Battement curatif — soins de zone</t>
        </is>
      </c>
      <c r="L98" s="5" t="n">
        <v>0</v>
      </c>
      <c r="M98" s="5" t="n">
        <v>81</v>
      </c>
      <c r="N98" s="5">
        <f>ROUND(M98*L98/100,0)</f>
        <v/>
      </c>
    </row>
    <row r="100" ht="48" customHeight="1">
      <c r="A100" s="36" t="inlineStr">
        <is>
          <t>« Might » est la puissance brute d'une compétence : dégâts réels = puissance × ATK × multiplicateur élémentaire. Les compétences purement utilitaires (soins, boucliers, buffs) ont une puissance de 0 et ne comptent pas — les soigneurs sont donc logiquement en bas de ce classement sans être « faibles ». Type de dégâts : Physique (rouge) / Magique (bleu) / Soin (vert) selon les tags Physical/Magical des compétences ; « (déduit) » = aucun tag publié, déduit de la lignée d'évolution ou de la portée de l'attaque de base. Une info-bulle sur la cellule signale les Aniimo dont l'ultime change de type.</t>
        </is>
      </c>
    </row>
  </sheetData>
  <autoFilter ref="A4:N98"/>
  <mergeCells count="3">
    <mergeCell ref="A100:N100"/>
    <mergeCell ref="A2:N2"/>
    <mergeCell ref="A1:N1"/>
  </mergeCells>
  <conditionalFormatting sqref="G5:G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:L9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:N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62" customWidth="1" min="4" max="4"/>
    <col width="62" customWidth="1" min="5" max="5"/>
  </cols>
  <sheetData>
    <row r="1">
      <c r="A1" s="1" t="inlineStr">
        <is>
          <t>ANIIMO — Équipe type autour de Fulmintis</t>
        </is>
      </c>
    </row>
    <row r="2">
      <c r="A2" s="2" t="inlineStr">
        <is>
          <t>Composition de 4 Aniimo pensée pour maximiser les dégâts de Fulmintis, avec le BREAK obligatoire. Chaque choix est justifié par un effet réel du jeu.</t>
        </is>
      </c>
    </row>
    <row r="4">
      <c r="A4" s="50" t="inlineStr">
        <is>
          <t>La composition</t>
        </is>
      </c>
    </row>
    <row r="5" ht="26" customHeight="1">
      <c r="A5" s="3" t="inlineStr">
        <is>
          <t>Aniimo</t>
        </is>
      </c>
      <c r="B5" s="3" t="inlineStr">
        <is>
          <t>Rôle dans l'équipe</t>
        </is>
      </c>
      <c r="C5" s="3" t="inlineStr">
        <is>
          <t>Élément</t>
        </is>
      </c>
      <c r="D5" s="3" t="inlineStr">
        <is>
          <t>Ce qu'il apporte concrètement</t>
        </is>
      </c>
      <c r="E5" s="3" t="inlineStr">
        <is>
          <t>Pourquoi ce choix</t>
        </is>
      </c>
    </row>
    <row r="6" ht="62" customHeight="1">
      <c r="A6" s="73" t="inlineStr">
        <is>
          <t>Fulmintis</t>
        </is>
      </c>
      <c r="B6" s="74" t="inlineStr">
        <is>
          <t>DPS principal</t>
        </is>
      </c>
      <c r="C6" s="75" t="inlineStr">
        <is>
          <t>Foudre</t>
        </is>
      </c>
      <c r="D6" s="74" t="inlineStr">
        <is>
          <t>ATK 130 (2ᵉ du jeu) · Thunder Lance : puissance 180, touche en ligne et paralyse 1,5 s.</t>
        </is>
      </c>
      <c r="E6" s="74" t="inlineStr">
        <is>
          <t>Le cœur de l'équipe. Son trait « Frappe d'éclair » donne +50% de dégâts d'attaque normale pendant 10 s à chaque entrée sur le terrain : il faut donc le faire entrer AU MOMENT du BREAK.</t>
        </is>
      </c>
    </row>
    <row r="7" ht="62" customHeight="1">
      <c r="A7" s="76" t="inlineStr">
        <is>
          <t>Dazmand</t>
        </is>
      </c>
      <c r="B7" s="74" t="inlineStr">
        <is>
          <t>SUPPORT (Foudre)</t>
        </is>
      </c>
      <c r="C7" s="75" t="inlineStr">
        <is>
          <t>Foudre</t>
        </is>
      </c>
      <c r="D7" s="74" t="inlineStr">
        <is>
          <t>Trait « Surtensions » : +12% de dégâts Foudre. Thunder Sweep : +taux critique Foudre de toute l'équipe pendant 20 s. Electricity Shock : 5 cumuls de [Debuff Foudre] → paralysie 3 s.</t>
        </is>
      </c>
      <c r="E7" s="74" t="inlineStr">
        <is>
          <t>Le meilleur amplificateur pour Fulmintis : son bonus est passif et permanent, et son buff de critique Foudre couvre toute la fenêtre de burst. BREAK 91 en secours.</t>
        </is>
      </c>
    </row>
    <row r="8" ht="62" customHeight="1">
      <c r="A8" s="76" t="inlineStr">
        <is>
          <t>Luminelle</t>
        </is>
      </c>
      <c r="B8" s="74" t="inlineStr">
        <is>
          <t>SUPPORT / soin (Foudre)</t>
        </is>
      </c>
      <c r="C8" s="75" t="inlineStr">
        <is>
          <t>Foudre</t>
        </is>
      </c>
      <c r="D8" s="74" t="inlineStr">
        <is>
          <t>« Spotlight Moment » : dégâts d'attaque de base des alliés Foudre ↑ et efficacité BREAK ↑ 15 s. « Self-Destruction » : champ qui augmente les dégâts Foudre 30 s. « Lightning Discharge » : soigne 3% PV/s aux alliés Foudre. REGEN 120 = meilleur du jeu.</t>
        </is>
      </c>
      <c r="E8" s="74" t="inlineStr">
        <is>
          <t>Deuxième couche de dégâts Foudre + le seul soin qui cible spécifiquement les alliés Foudre. Sert aussi d'accélérateur de BREAK.</t>
        </is>
      </c>
    </row>
    <row r="9" ht="62" customHeight="1">
      <c r="A9" s="76" t="inlineStr">
        <is>
          <t>Rookey</t>
        </is>
      </c>
      <c r="B9" s="74" t="inlineStr">
        <is>
          <t>BREAK (obligatoire)</t>
        </is>
      </c>
      <c r="C9" s="77" t="inlineStr">
        <is>
          <t>Ténèbres</t>
        </is>
      </c>
      <c r="D9" s="74" t="inlineStr">
        <is>
          <t>BREAK 105 et DÉF. Phys. 103. « Bouncy Sling » : +15% de dégâts de BREAK subis par la cible pendant 15 s. « Guardbreak Slam » ×3 → étourdissement 1 s. « Heavy Slam » : puissance 196. Trait « Corps dur » : bonus de BREAK égal à 10% de sa DÉF. Phys.</t>
        </is>
      </c>
      <c r="E9" s="74" t="inlineStr">
        <is>
          <t>Le briseur le plus efficace du roster : il ouvre la fenêtre ET l'agrandit de 15%. Son élément Ténèbres apporte aussi la couverture qui manque à une équipe 100% Foudre.</t>
        </is>
      </c>
    </row>
    <row r="11">
      <c r="A11" s="50" t="inlineStr">
        <is>
          <t>Statistiques de l'équipe</t>
        </is>
      </c>
    </row>
    <row r="12" ht="26" customHeight="1">
      <c r="A12" s="3" t="inlineStr">
        <is>
          <t>Aniimo</t>
        </is>
      </c>
      <c r="B12" s="3" t="inlineStr">
        <is>
          <t>ATK</t>
        </is>
      </c>
      <c r="C12" s="3" t="inlineStr">
        <is>
          <t>BREAK</t>
        </is>
      </c>
      <c r="D12" s="3" t="inlineStr">
        <is>
          <t>REGEN</t>
        </is>
      </c>
      <c r="E12" s="3" t="inlineStr">
        <is>
          <t>Total attributs</t>
        </is>
      </c>
    </row>
    <row r="13">
      <c r="A13" s="21" t="inlineStr">
        <is>
          <t>Fulmintis</t>
        </is>
      </c>
      <c r="B13" s="5" t="n">
        <v>130</v>
      </c>
      <c r="C13" s="5" t="n">
        <v>50</v>
      </c>
      <c r="D13" s="5" t="n">
        <v>105</v>
      </c>
      <c r="E13" s="5" t="n">
        <v>520</v>
      </c>
    </row>
    <row r="14">
      <c r="A14" s="21" t="inlineStr">
        <is>
          <t>Dazmand</t>
        </is>
      </c>
      <c r="B14" s="5" t="n">
        <v>108</v>
      </c>
      <c r="C14" s="5" t="n">
        <v>91</v>
      </c>
      <c r="D14" s="5" t="n">
        <v>71</v>
      </c>
      <c r="E14" s="5" t="n">
        <v>532</v>
      </c>
    </row>
    <row r="15">
      <c r="A15" s="21" t="inlineStr">
        <is>
          <t>Luminelle</t>
        </is>
      </c>
      <c r="B15" s="5" t="n">
        <v>90</v>
      </c>
      <c r="C15" s="5" t="n">
        <v>50</v>
      </c>
      <c r="D15" s="5" t="n">
        <v>120</v>
      </c>
      <c r="E15" s="5" t="n">
        <v>540</v>
      </c>
    </row>
    <row r="16">
      <c r="A16" s="21" t="inlineStr">
        <is>
          <t>Rookey</t>
        </is>
      </c>
      <c r="B16" s="5" t="n">
        <v>92</v>
      </c>
      <c r="C16" s="5" t="n">
        <v>105</v>
      </c>
      <c r="D16" s="5" t="n">
        <v>75</v>
      </c>
      <c r="E16" s="5" t="n">
        <v>548</v>
      </c>
    </row>
    <row r="17">
      <c r="A17" s="78" t="inlineStr">
        <is>
          <t>TOTAL ÉQUIPE</t>
        </is>
      </c>
      <c r="B17" s="51">
        <f>SUM(B13:B16)</f>
        <v/>
      </c>
      <c r="C17" s="51">
        <f>SUM(C13:C16)</f>
        <v/>
      </c>
      <c r="D17" s="51">
        <f>SUM(D13:D16)</f>
        <v/>
      </c>
      <c r="E17" s="51">
        <f>SUM(E13:E16)</f>
        <v/>
      </c>
    </row>
    <row r="19">
      <c r="A19" s="50" t="inlineStr">
        <is>
          <t>Rotation conseillée (un cycle de combat)</t>
        </is>
      </c>
    </row>
    <row r="20" ht="26" customHeight="1">
      <c r="A20" s="3" t="inlineStr">
        <is>
          <t>Étape</t>
        </is>
      </c>
      <c r="B20" s="3" t="inlineStr">
        <is>
          <t>Aniimo</t>
        </is>
      </c>
      <c r="C20" s="3" t="inlineStr">
        <is>
          <t>Action</t>
        </is>
      </c>
      <c r="D20" s="3" t="inlineStr"/>
      <c r="E20" s="3" t="inlineStr"/>
    </row>
    <row r="21" ht="24" customHeight="1">
      <c r="A21" s="79" t="inlineStr">
        <is>
          <t>1</t>
        </is>
      </c>
      <c r="B21" s="79" t="inlineStr">
        <is>
          <t>Rookey</t>
        </is>
      </c>
      <c r="C21" s="80" t="inlineStr">
        <is>
          <t>Bouncy Sling → la cible subit +15% de dégâts de BREAK pendant 15 s</t>
        </is>
      </c>
      <c r="D21" s="81" t="n"/>
      <c r="E21" s="81" t="n"/>
    </row>
    <row r="22" ht="24" customHeight="1">
      <c r="A22" s="79" t="inlineStr">
        <is>
          <t>2</t>
        </is>
      </c>
      <c r="B22" s="79" t="inlineStr">
        <is>
          <t>Rookey</t>
        </is>
      </c>
      <c r="C22" s="80" t="inlineStr">
        <is>
          <t>Guardbreak Slam ×3 → étourdissement 1 s, la jauge de BREAK tombe</t>
        </is>
      </c>
      <c r="D22" s="81" t="n"/>
      <c r="E22" s="81" t="n"/>
    </row>
    <row r="23" ht="24" customHeight="1">
      <c r="A23" s="79" t="inlineStr">
        <is>
          <t>3</t>
        </is>
      </c>
      <c r="B23" s="79" t="inlineStr">
        <is>
          <t>Dazmand</t>
        </is>
      </c>
      <c r="C23" s="80" t="inlineStr">
        <is>
          <t>Thunder Sweep → taux critique Foudre de l'équipe ↑ 20 s, puis Electricity Shock (paralysie)</t>
        </is>
      </c>
      <c r="D23" s="81" t="n"/>
      <c r="E23" s="81" t="n"/>
    </row>
    <row r="24" ht="24" customHeight="1">
      <c r="A24" s="79" t="inlineStr">
        <is>
          <t>4</t>
        </is>
      </c>
      <c r="B24" s="79" t="inlineStr">
        <is>
          <t>Luminelle</t>
        </is>
      </c>
      <c r="C24" s="80" t="inlineStr">
        <is>
          <t>Spotlight Moment puis Self-Destruction → dégâts Foudre ↑ 30 s</t>
        </is>
      </c>
      <c r="D24" s="81" t="n"/>
      <c r="E24" s="81" t="n"/>
    </row>
    <row r="25" ht="24" customHeight="1">
      <c r="A25" s="82" t="inlineStr">
        <is>
          <t>5</t>
        </is>
      </c>
      <c r="B25" s="82" t="inlineStr">
        <is>
          <t>Fulmintis</t>
        </is>
      </c>
      <c r="C25" s="83" t="inlineStr">
        <is>
          <t>ENTRÉE sur le terrain (+50% attaque normale 10 s) → Enhanced Lightning Blade (+25% crit 20 s)</t>
        </is>
      </c>
      <c r="D25" s="84" t="n"/>
      <c r="E25" s="84" t="n"/>
    </row>
    <row r="26" ht="24" customHeight="1">
      <c r="A26" s="82" t="inlineStr">
        <is>
          <t>6</t>
        </is>
      </c>
      <c r="B26" s="82" t="inlineStr">
        <is>
          <t>Fulmintis</t>
        </is>
      </c>
      <c r="C26" s="83" t="inlineStr">
        <is>
          <t>THUNDER LANCE (puissance 180) dans la fenêtre de BREAK — c'est le pic de dégâts du cycle</t>
        </is>
      </c>
      <c r="D26" s="84" t="n"/>
      <c r="E26" s="84" t="n"/>
    </row>
    <row r="29">
      <c r="A29" s="50" t="inlineStr">
        <is>
          <t>Variantes selon la situation</t>
        </is>
      </c>
    </row>
    <row r="30" ht="26" customHeight="1">
      <c r="A30" s="3" t="inlineStr">
        <is>
          <t>Variante</t>
        </is>
      </c>
      <c r="B30" s="3" t="inlineStr">
        <is>
          <t>Remplacement</t>
        </is>
      </c>
      <c r="C30" s="3" t="inlineStr">
        <is>
          <t>Détail</t>
        </is>
      </c>
      <c r="D30" s="3" t="inlineStr"/>
      <c r="E30" s="3" t="inlineStr"/>
    </row>
    <row r="31" ht="56" customHeight="1">
      <c r="A31" s="85" t="inlineStr">
        <is>
          <t>100% Foudre</t>
        </is>
      </c>
      <c r="B31" s="74" t="inlineStr">
        <is>
          <t>Blazen à la place de Rookey</t>
        </is>
      </c>
      <c r="C31" s="74" t="inlineStr">
        <is>
          <t>BREAK 104 et élément Foudre. Trait « Endurance de puissance » : en état d'excitation, tous les dégâts comptent comme critiques. Plus de synergie élémentaire, mais l'équipe n'a alors aucune réponse aux ennemis Glace et Roche.</t>
        </is>
      </c>
      <c r="D31" s="74" t="n"/>
      <c r="E31" s="74" t="n"/>
    </row>
    <row r="32" ht="56" customHeight="1">
      <c r="A32" s="85" t="inlineStr">
        <is>
          <t>Survie</t>
        </is>
      </c>
      <c r="B32" s="74" t="inlineStr">
        <is>
          <t>Gracewing à la place de Luminelle</t>
        </is>
      </c>
      <c r="C32" s="74" t="inlineStr">
        <is>
          <t>HEAL. « Help! Gracewing! » soigne instantanément 30% des PV max de toute l'équipe ; « Purifying Dance » dissipe les malus et donne +20% de récupération d'EP. Trait : les alliés récupèrent 2 EP pendant 8 s. Moins de dégâts, beaucoup plus de confort.</t>
        </is>
      </c>
      <c r="D32" s="74" t="n"/>
      <c r="E32" s="74" t="n"/>
    </row>
    <row r="33" ht="56" customHeight="1">
      <c r="A33" s="85" t="inlineStr">
        <is>
          <t>Énergie / EP</t>
        </is>
      </c>
      <c r="B33" s="74" t="inlineStr">
        <is>
          <t>Somniwing ou Besauce à la place de Luminelle</t>
        </is>
      </c>
      <c r="C33" s="74" t="inlineStr">
        <is>
          <t>Somniwing : +20 de plafond d'EP pour toute l'équipe → un Thunder Lance de plus par combat. Besauce (Foudre) : « Electric Dance Frenzy » baisse la résistance Foudre des ennemis 30 s et « Charged Geyser » rend 15 EP + régénération sur 12 s.</t>
        </is>
      </c>
      <c r="D33" s="74" t="n"/>
      <c r="E33" s="74" t="n"/>
    </row>
    <row r="36">
      <c r="A36" s="50" t="inlineStr">
        <is>
          <t>Points de vigilance</t>
        </is>
      </c>
    </row>
    <row r="37" ht="40" customHeight="1">
      <c r="A37" s="86" t="inlineStr">
        <is>
          <t>Faiblesses de Fulmintis</t>
        </is>
      </c>
      <c r="B37" s="74" t="inlineStr">
        <is>
          <t>Il subit ×1,6 des attaques Glace et Roche. Contre ces ennemis, laisse Rookey ou un allié encaisser et fais entrer Fulmintis uniquement pendant le BREAK.</t>
        </is>
      </c>
      <c r="C37" s="74" t="n"/>
      <c r="D37" s="74" t="n"/>
      <c r="E37" s="74" t="n"/>
    </row>
    <row r="38" ht="40" customHeight="1">
      <c r="A38" s="86" t="inlineStr">
        <is>
          <t>Forces de Fulmintis</t>
        </is>
      </c>
      <c r="B38" s="74" t="inlineStr">
        <is>
          <t>Il frappe ×1,6 les cibles Eau et Vent, et résiste (×0,625) à Foudre, Vent et Lumière.</t>
        </is>
      </c>
      <c r="C38" s="74" t="n"/>
      <c r="D38" s="74" t="n"/>
      <c r="E38" s="74" t="n"/>
    </row>
    <row r="39" ht="40" customHeight="1">
      <c r="A39" s="86" t="inlineStr">
        <is>
          <t>Ordre d'entrée</t>
        </is>
      </c>
      <c r="B39" s="74" t="inlineStr">
        <is>
          <t>Le trait de Fulmintis se déclenche À L'ENTRÉE sur le terrain : ne le laisse pas planté en permanence, alterne pour re-déclencher le +50%.</t>
        </is>
      </c>
      <c r="C39" s="74" t="n"/>
      <c r="D39" s="74" t="n"/>
      <c r="E39" s="74" t="n"/>
    </row>
    <row r="40" ht="40" customHeight="1">
      <c r="A40" s="86" t="inlineStr">
        <is>
          <t>Équipement conseillé</t>
        </is>
      </c>
      <c r="B40" s="74" t="inlineStr">
        <is>
          <t>Croc Féroce (Ferocious Fang, objet légendaire) sur Fulmintis, d'après les recommandations de la base de données.</t>
        </is>
      </c>
      <c r="C40" s="74" t="n"/>
      <c r="D40" s="74" t="n"/>
      <c r="E40" s="74" t="n"/>
    </row>
  </sheetData>
  <mergeCells count="20">
    <mergeCell ref="B40:E40"/>
    <mergeCell ref="C31:E31"/>
    <mergeCell ref="C22:E22"/>
    <mergeCell ref="A11:E11"/>
    <mergeCell ref="A1:E1"/>
    <mergeCell ref="A36:E36"/>
    <mergeCell ref="C21:E21"/>
    <mergeCell ref="C23:E23"/>
    <mergeCell ref="C32:E32"/>
    <mergeCell ref="A2:E2"/>
    <mergeCell ref="B39:E39"/>
    <mergeCell ref="C24:E24"/>
    <mergeCell ref="A29:E29"/>
    <mergeCell ref="A4:E4"/>
    <mergeCell ref="C33:E33"/>
    <mergeCell ref="B38:E38"/>
    <mergeCell ref="A19:E19"/>
    <mergeCell ref="C26:E26"/>
    <mergeCell ref="B37:E37"/>
    <mergeCell ref="C25:E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20" customWidth="1" min="5" max="5"/>
    <col width="34" customWidth="1" min="6" max="6"/>
    <col width="13" customWidth="1" min="7" max="7"/>
    <col width="8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4" customWidth="1" min="14" max="14"/>
    <col width="9" customWidth="1" min="15" max="15"/>
    <col width="10" customWidth="1" min="16" max="16"/>
  </cols>
  <sheetData>
    <row r="1">
      <c r="A1" s="1" t="inlineStr">
        <is>
          <t>ANIIMO — Rôle DPS / Attaque (33)</t>
        </is>
      </c>
    </row>
    <row r="2">
      <c r="A2" s="2" t="inlineStr">
        <is>
          <t>Classés du plus fort au moins fort (ATK décroissante). Mêmes colonnes et mêmes codes couleur que l'onglet général.</t>
        </is>
      </c>
    </row>
    <row r="4" ht="30" customHeight="1">
      <c r="A4" s="3" t="inlineStr">
        <is>
          <t>N°</t>
        </is>
      </c>
      <c r="B4" s="3" t="inlineStr">
        <is>
          <t>Icône</t>
        </is>
      </c>
      <c r="C4" s="3" t="inlineStr">
        <is>
          <t>Nom</t>
        </is>
      </c>
      <c r="D4" s="3" t="inlineStr">
        <is>
          <t>Élément(s)</t>
        </is>
      </c>
      <c r="E4" s="3" t="inlineStr">
        <is>
          <t>Rôle</t>
        </is>
      </c>
      <c r="F4" s="3" t="inlineStr">
        <is>
          <t>Métier (Homeland)</t>
        </is>
      </c>
      <c r="G4" s="3" t="inlineStr">
        <is>
          <t>Niv. max métier</t>
        </is>
      </c>
      <c r="H4" s="3" t="inlineStr">
        <is>
          <t>ATK</t>
        </is>
      </c>
      <c r="I4" s="3" t="inlineStr">
        <is>
          <t>PV (HP)</t>
        </is>
      </c>
      <c r="J4" s="3" t="inlineStr">
        <is>
          <t>DÉF. Phys.</t>
        </is>
      </c>
      <c r="K4" s="3" t="inlineStr">
        <is>
          <t>DÉF. Mag.</t>
        </is>
      </c>
      <c r="L4" s="3" t="inlineStr">
        <is>
          <t>BREAK</t>
        </is>
      </c>
      <c r="M4" s="3" t="inlineStr">
        <is>
          <t>REGEN</t>
        </is>
      </c>
      <c r="N4" s="3" t="inlineStr">
        <is>
          <t>Total attributs</t>
        </is>
      </c>
      <c r="O4" s="3" t="inlineStr">
        <is>
          <t>Rang ATK</t>
        </is>
      </c>
      <c r="P4" s="3" t="inlineStr">
        <is>
          <t>Rang Total</t>
        </is>
      </c>
    </row>
    <row r="5" ht="26" customHeight="1">
      <c r="A5" s="4" t="inlineStr">
        <is>
          <t>044</t>
        </is>
      </c>
      <c r="B5" s="5" t="n"/>
      <c r="C5" s="6" t="inlineStr">
        <is>
          <t>Fulmintis</t>
        </is>
      </c>
      <c r="D5" s="14" t="inlineStr">
        <is>
          <t>Foudre</t>
        </is>
      </c>
      <c r="E5" s="15" t="inlineStr">
        <is>
          <t>DPS</t>
        </is>
      </c>
      <c r="F5" s="9" t="inlineStr">
        <is>
          <t>📦 Portage (Carry)</t>
        </is>
      </c>
      <c r="G5" s="10" t="inlineStr">
        <is>
          <t>Lv.1</t>
        </is>
      </c>
      <c r="H5" s="5" t="n">
        <v>130</v>
      </c>
      <c r="I5" s="5" t="n">
        <v>99</v>
      </c>
      <c r="J5" s="5" t="n">
        <v>66</v>
      </c>
      <c r="K5" s="5" t="n">
        <v>70</v>
      </c>
      <c r="L5" s="5" t="n">
        <v>50</v>
      </c>
      <c r="M5" s="5" t="n">
        <v>105</v>
      </c>
      <c r="N5" s="5">
        <f>SUM(H5:M5)</f>
        <v/>
      </c>
      <c r="O5" s="11">
        <f>RANK(H5,$H$5:$H$37)</f>
        <v/>
      </c>
      <c r="P5" s="11">
        <f>RANK(N5,$N$5:$N$37)</f>
        <v/>
      </c>
    </row>
    <row r="6" ht="26" customHeight="1">
      <c r="A6" s="12" t="inlineStr">
        <is>
          <t>063</t>
        </is>
      </c>
      <c r="B6" s="5" t="n"/>
      <c r="C6" s="13" t="inlineStr">
        <is>
          <t>Pawney</t>
        </is>
      </c>
      <c r="D6" s="18" t="inlineStr">
        <is>
          <t>Ténèbres</t>
        </is>
      </c>
      <c r="E6" s="15" t="inlineStr">
        <is>
          <t>DPS</t>
        </is>
      </c>
      <c r="F6" s="19" t="inlineStr">
        <is>
          <t>🔨 Artisanat (Artisanship)</t>
        </is>
      </c>
      <c r="G6" s="20" t="inlineStr">
        <is>
          <t>Lv.3</t>
        </is>
      </c>
      <c r="H6" s="5" t="n">
        <v>128</v>
      </c>
      <c r="I6" s="5" t="n">
        <v>90</v>
      </c>
      <c r="J6" s="5" t="n">
        <v>89</v>
      </c>
      <c r="K6" s="5" t="n">
        <v>70</v>
      </c>
      <c r="L6" s="5" t="n">
        <v>55</v>
      </c>
      <c r="M6" s="5" t="n">
        <v>80</v>
      </c>
      <c r="N6" s="5">
        <f>SUM(H6:M6)</f>
        <v/>
      </c>
      <c r="O6" s="11">
        <f>RANK(H6,$H$5:$H$37)</f>
        <v/>
      </c>
      <c r="P6" s="11">
        <f>RANK(N6,$N$5:$N$37)</f>
        <v/>
      </c>
    </row>
    <row r="7" ht="26" customHeight="1">
      <c r="A7" s="16" t="inlineStr">
        <is>
          <t>043</t>
        </is>
      </c>
      <c r="B7" s="5" t="n"/>
      <c r="C7" s="17" t="inlineStr">
        <is>
          <t>Ignitis</t>
        </is>
      </c>
      <c r="D7" s="18" t="inlineStr">
        <is>
          <t>Ténèbres</t>
        </is>
      </c>
      <c r="E7" s="15" t="inlineStr">
        <is>
          <t>DPS</t>
        </is>
      </c>
      <c r="F7" s="19" t="inlineStr">
        <is>
          <t>🔨 Artisanat (Artisanship)</t>
        </is>
      </c>
      <c r="G7" s="20" t="inlineStr">
        <is>
          <t>Lv.3</t>
        </is>
      </c>
      <c r="H7" s="5" t="n">
        <v>128</v>
      </c>
      <c r="I7" s="5" t="n">
        <v>90</v>
      </c>
      <c r="J7" s="5" t="n">
        <v>70</v>
      </c>
      <c r="K7" s="5" t="n">
        <v>63</v>
      </c>
      <c r="L7" s="5" t="n">
        <v>50</v>
      </c>
      <c r="M7" s="5" t="n">
        <v>91</v>
      </c>
      <c r="N7" s="5">
        <f>SUM(H7:M7)</f>
        <v/>
      </c>
      <c r="O7" s="11">
        <f>RANK(H7,$H$5:$H$37)</f>
        <v/>
      </c>
      <c r="P7" s="11">
        <f>RANK(N7,$N$5:$N$37)</f>
        <v/>
      </c>
    </row>
    <row r="8" ht="26" customHeight="1">
      <c r="A8" s="5" t="inlineStr">
        <is>
          <t>070</t>
        </is>
      </c>
      <c r="B8" s="5" t="n"/>
      <c r="C8" s="21" t="inlineStr">
        <is>
          <t>Grizbo</t>
        </is>
      </c>
      <c r="D8" s="22" t="inlineStr">
        <is>
          <t>Roche</t>
        </is>
      </c>
      <c r="E8" s="15" t="inlineStr">
        <is>
          <t>DPS</t>
        </is>
      </c>
      <c r="F8" s="9" t="inlineStr">
        <is>
          <t>📦 Portage (Carry)</t>
        </is>
      </c>
      <c r="G8" s="10" t="inlineStr">
        <is>
          <t>Lv.1</t>
        </is>
      </c>
      <c r="H8" s="5" t="n">
        <v>126</v>
      </c>
      <c r="I8" s="5" t="n">
        <v>108</v>
      </c>
      <c r="J8" s="5" t="n">
        <v>83</v>
      </c>
      <c r="K8" s="5" t="n">
        <v>73</v>
      </c>
      <c r="L8" s="5" t="n">
        <v>50</v>
      </c>
      <c r="M8" s="5" t="n">
        <v>84</v>
      </c>
      <c r="N8" s="5">
        <f>SUM(H8:M8)</f>
        <v/>
      </c>
      <c r="O8" s="11">
        <f>RANK(H8,$H$5:$H$37)</f>
        <v/>
      </c>
      <c r="P8" s="11">
        <f>RANK(N8,$N$5:$N$37)</f>
        <v/>
      </c>
    </row>
    <row r="9" ht="26" customHeight="1">
      <c r="A9" s="5" t="inlineStr">
        <is>
          <t>093</t>
        </is>
      </c>
      <c r="B9" s="5" t="n"/>
      <c r="C9" s="21" t="inlineStr">
        <is>
          <t>Malevsera</t>
        </is>
      </c>
      <c r="D9" s="23" t="inlineStr">
        <is>
          <t>Glace</t>
        </is>
      </c>
      <c r="E9" s="15" t="inlineStr">
        <is>
          <t>DPS</t>
        </is>
      </c>
      <c r="F9" s="19" t="inlineStr">
        <is>
          <t>🔨 Artisanat (Artisanship)</t>
        </is>
      </c>
      <c r="G9" s="20" t="inlineStr">
        <is>
          <t>Lv.3</t>
        </is>
      </c>
      <c r="H9" s="5" t="n">
        <v>125</v>
      </c>
      <c r="I9" s="5" t="n">
        <v>88</v>
      </c>
      <c r="J9" s="5" t="n">
        <v>70</v>
      </c>
      <c r="K9" s="5" t="n">
        <v>80</v>
      </c>
      <c r="L9" s="5" t="n">
        <v>52</v>
      </c>
      <c r="M9" s="5" t="n">
        <v>110</v>
      </c>
      <c r="N9" s="5">
        <f>SUM(H9:M9)</f>
        <v/>
      </c>
      <c r="O9" s="11">
        <f>RANK(H9,$H$5:$H$37)</f>
        <v/>
      </c>
      <c r="P9" s="11">
        <f>RANK(N9,$N$5:$N$37)</f>
        <v/>
      </c>
    </row>
    <row r="10" ht="26" customHeight="1">
      <c r="A10" s="5" t="inlineStr">
        <is>
          <t>061</t>
        </is>
      </c>
      <c r="B10" s="5" t="n"/>
      <c r="C10" s="21" t="inlineStr">
        <is>
          <t>Fenmane</t>
        </is>
      </c>
      <c r="D10" s="14" t="inlineStr">
        <is>
          <t>Foudre</t>
        </is>
      </c>
      <c r="E10" s="15" t="inlineStr">
        <is>
          <t>DPS</t>
        </is>
      </c>
      <c r="F10" s="9" t="inlineStr">
        <is>
          <t>📦 Portage (Carry)</t>
        </is>
      </c>
      <c r="G10" s="10" t="inlineStr">
        <is>
          <t>Lv.1</t>
        </is>
      </c>
      <c r="H10" s="5" t="n">
        <v>125</v>
      </c>
      <c r="I10" s="5" t="n">
        <v>100</v>
      </c>
      <c r="J10" s="5" t="n">
        <v>70</v>
      </c>
      <c r="K10" s="5" t="n">
        <v>70</v>
      </c>
      <c r="L10" s="5" t="n">
        <v>50</v>
      </c>
      <c r="M10" s="5" t="n">
        <v>90</v>
      </c>
      <c r="N10" s="5">
        <f>SUM(H10:M10)</f>
        <v/>
      </c>
      <c r="O10" s="11">
        <f>RANK(H10,$H$5:$H$37)</f>
        <v/>
      </c>
      <c r="P10" s="11">
        <f>RANK(N10,$N$5:$N$37)</f>
        <v/>
      </c>
    </row>
    <row r="11" ht="26" customHeight="1">
      <c r="A11" s="5" t="inlineStr">
        <is>
          <t>006</t>
        </is>
      </c>
      <c r="B11" s="5" t="n"/>
      <c r="C11" s="21" t="inlineStr">
        <is>
          <t>Stellarys</t>
        </is>
      </c>
      <c r="D11" s="18" t="inlineStr">
        <is>
          <t>Ténèbres</t>
        </is>
      </c>
      <c r="E11" s="15" t="inlineStr">
        <is>
          <t>DPS</t>
        </is>
      </c>
      <c r="F11" s="24" t="inlineStr">
        <is>
          <t>🪁 Loisir (Leisure)</t>
        </is>
      </c>
      <c r="G11" s="25" t="inlineStr">
        <is>
          <t>Lv.4</t>
        </is>
      </c>
      <c r="H11" s="5" t="n">
        <v>125</v>
      </c>
      <c r="I11" s="5" t="n">
        <v>90</v>
      </c>
      <c r="J11" s="5" t="n">
        <v>63</v>
      </c>
      <c r="K11" s="5" t="n">
        <v>67</v>
      </c>
      <c r="L11" s="5" t="n">
        <v>50</v>
      </c>
      <c r="M11" s="5" t="n">
        <v>90</v>
      </c>
      <c r="N11" s="5">
        <f>SUM(H11:M11)</f>
        <v/>
      </c>
      <c r="O11" s="11">
        <f>RANK(H11,$H$5:$H$37)</f>
        <v/>
      </c>
      <c r="P11" s="11">
        <f>RANK(N11,$N$5:$N$37)</f>
        <v/>
      </c>
    </row>
    <row r="12" ht="26" customHeight="1">
      <c r="A12" s="5" t="inlineStr">
        <is>
          <t>091</t>
        </is>
      </c>
      <c r="B12" s="5" t="n"/>
      <c r="C12" s="21" t="inlineStr">
        <is>
          <t>Gachapus</t>
        </is>
      </c>
      <c r="D12" s="26" t="inlineStr">
        <is>
          <t>Eau</t>
        </is>
      </c>
      <c r="E12" s="15" t="inlineStr">
        <is>
          <t>DPS</t>
        </is>
      </c>
      <c r="F12" s="19" t="inlineStr">
        <is>
          <t>🔨 Artisanat (Artisanship)</t>
        </is>
      </c>
      <c r="G12" s="20" t="inlineStr">
        <is>
          <t>Lv.3</t>
        </is>
      </c>
      <c r="H12" s="5" t="n">
        <v>121</v>
      </c>
      <c r="I12" s="5" t="n">
        <v>106</v>
      </c>
      <c r="J12" s="5" t="n">
        <v>68</v>
      </c>
      <c r="K12" s="5" t="n">
        <v>77</v>
      </c>
      <c r="L12" s="5" t="n">
        <v>51</v>
      </c>
      <c r="M12" s="5" t="n">
        <v>106</v>
      </c>
      <c r="N12" s="5">
        <f>SUM(H12:M12)</f>
        <v/>
      </c>
      <c r="O12" s="11">
        <f>RANK(H12,$H$5:$H$37)</f>
        <v/>
      </c>
      <c r="P12" s="11">
        <f>RANK(N12,$N$5:$N$37)</f>
        <v/>
      </c>
    </row>
    <row r="13" ht="26" customHeight="1">
      <c r="A13" s="5" t="inlineStr">
        <is>
          <t>056</t>
        </is>
      </c>
      <c r="B13" s="5" t="n"/>
      <c r="C13" s="21" t="inlineStr">
        <is>
          <t>Sherro</t>
        </is>
      </c>
      <c r="D13" s="26" t="inlineStr">
        <is>
          <t>Eau</t>
        </is>
      </c>
      <c r="E13" s="15" t="inlineStr">
        <is>
          <t>DPS</t>
        </is>
      </c>
      <c r="F13" s="24" t="inlineStr">
        <is>
          <t>🪁 Loisir (Leisure)</t>
        </is>
      </c>
      <c r="G13" s="25" t="inlineStr">
        <is>
          <t>Lv.4</t>
        </is>
      </c>
      <c r="H13" s="5" t="n">
        <v>121</v>
      </c>
      <c r="I13" s="5" t="n">
        <v>100</v>
      </c>
      <c r="J13" s="5" t="n">
        <v>75</v>
      </c>
      <c r="K13" s="5" t="n">
        <v>75</v>
      </c>
      <c r="L13" s="5" t="n">
        <v>50</v>
      </c>
      <c r="M13" s="5" t="n">
        <v>88</v>
      </c>
      <c r="N13" s="5">
        <f>SUM(H13:M13)</f>
        <v/>
      </c>
      <c r="O13" s="11">
        <f>RANK(H13,$H$5:$H$37)</f>
        <v/>
      </c>
      <c r="P13" s="11">
        <f>RANK(N13,$N$5:$N$37)</f>
        <v/>
      </c>
    </row>
    <row r="14" ht="26" customHeight="1">
      <c r="A14" s="5" t="inlineStr">
        <is>
          <t>035</t>
        </is>
      </c>
      <c r="B14" s="5" t="n"/>
      <c r="C14" s="21" t="inlineStr">
        <is>
          <t>Thornblade</t>
        </is>
      </c>
      <c r="D14" s="27" t="inlineStr">
        <is>
          <t>Plante</t>
        </is>
      </c>
      <c r="E14" s="15" t="inlineStr">
        <is>
          <t>DPS</t>
        </is>
      </c>
      <c r="F14" s="19" t="inlineStr">
        <is>
          <t>🔨 Artisanat (Artisanship)</t>
        </is>
      </c>
      <c r="G14" s="20" t="inlineStr">
        <is>
          <t>Lv.3</t>
        </is>
      </c>
      <c r="H14" s="5" t="n">
        <v>121</v>
      </c>
      <c r="I14" s="5" t="n">
        <v>96</v>
      </c>
      <c r="J14" s="5" t="n">
        <v>70</v>
      </c>
      <c r="K14" s="5" t="n">
        <v>70</v>
      </c>
      <c r="L14" s="5" t="n">
        <v>50</v>
      </c>
      <c r="M14" s="5" t="n">
        <v>92</v>
      </c>
      <c r="N14" s="5">
        <f>SUM(H14:M14)</f>
        <v/>
      </c>
      <c r="O14" s="11">
        <f>RANK(H14,$H$5:$H$37)</f>
        <v/>
      </c>
      <c r="P14" s="11">
        <f>RANK(N14,$N$5:$N$37)</f>
        <v/>
      </c>
    </row>
    <row r="15" ht="26" customHeight="1">
      <c r="A15" s="5" t="inlineStr">
        <is>
          <t>009</t>
        </is>
      </c>
      <c r="B15" s="5" t="n"/>
      <c r="C15" s="21" t="inlineStr">
        <is>
          <t>Cornet</t>
        </is>
      </c>
      <c r="D15" s="7" t="inlineStr">
        <is>
          <t>Vent</t>
        </is>
      </c>
      <c r="E15" s="15" t="inlineStr">
        <is>
          <t>DPS</t>
        </is>
      </c>
      <c r="F15" s="28" t="inlineStr">
        <is>
          <t>—  n.c.</t>
        </is>
      </c>
      <c r="G15" s="29" t="inlineStr">
        <is>
          <t>—</t>
        </is>
      </c>
      <c r="H15" s="5" t="n">
        <v>121</v>
      </c>
      <c r="I15" s="5" t="n">
        <v>93</v>
      </c>
      <c r="J15" s="5" t="n">
        <v>66</v>
      </c>
      <c r="K15" s="5" t="n">
        <v>65</v>
      </c>
      <c r="L15" s="5" t="n">
        <v>50</v>
      </c>
      <c r="M15" s="5" t="n">
        <v>94</v>
      </c>
      <c r="N15" s="5">
        <f>SUM(H15:M15)</f>
        <v/>
      </c>
      <c r="O15" s="11">
        <f>RANK(H15,$H$5:$H$37)</f>
        <v/>
      </c>
      <c r="P15" s="11">
        <f>RANK(N15,$N$5:$N$37)</f>
        <v/>
      </c>
    </row>
    <row r="16" ht="26" customHeight="1">
      <c r="A16" s="5" t="inlineStr">
        <is>
          <t>058</t>
        </is>
      </c>
      <c r="B16" s="5" t="n"/>
      <c r="C16" s="21" t="inlineStr">
        <is>
          <t>Waleetle</t>
        </is>
      </c>
      <c r="D16" s="22" t="inlineStr">
        <is>
          <t>Roche</t>
        </is>
      </c>
      <c r="E16" s="15" t="inlineStr">
        <is>
          <t>DPS</t>
        </is>
      </c>
      <c r="F16" s="24" t="inlineStr">
        <is>
          <t>🪁 Loisir (Leisure)</t>
        </is>
      </c>
      <c r="G16" s="25" t="inlineStr">
        <is>
          <t>Lv.4</t>
        </is>
      </c>
      <c r="H16" s="5" t="n">
        <v>120</v>
      </c>
      <c r="I16" s="5" t="n">
        <v>90</v>
      </c>
      <c r="J16" s="5" t="n">
        <v>80</v>
      </c>
      <c r="K16" s="5" t="n">
        <v>80</v>
      </c>
      <c r="L16" s="5" t="n">
        <v>50</v>
      </c>
      <c r="M16" s="5" t="n">
        <v>100</v>
      </c>
      <c r="N16" s="5">
        <f>SUM(H16:M16)</f>
        <v/>
      </c>
      <c r="O16" s="11">
        <f>RANK(H16,$H$5:$H$37)</f>
        <v/>
      </c>
      <c r="P16" s="11">
        <f>RANK(N16,$N$5:$N$37)</f>
        <v/>
      </c>
    </row>
    <row r="17" ht="26" customHeight="1">
      <c r="A17" s="5" t="inlineStr">
        <is>
          <t>047</t>
        </is>
      </c>
      <c r="B17" s="5" t="n"/>
      <c r="C17" s="21" t="inlineStr">
        <is>
          <t>Glynsera</t>
        </is>
      </c>
      <c r="D17" s="23" t="inlineStr">
        <is>
          <t>Glace</t>
        </is>
      </c>
      <c r="E17" s="15" t="inlineStr">
        <is>
          <t>DPS</t>
        </is>
      </c>
      <c r="F17" s="19" t="inlineStr">
        <is>
          <t>🔨 Artisanat (Artisanship)</t>
        </is>
      </c>
      <c r="G17" s="20" t="inlineStr">
        <is>
          <t>Lv.3</t>
        </is>
      </c>
      <c r="H17" s="5" t="n">
        <v>117</v>
      </c>
      <c r="I17" s="5" t="n">
        <v>95</v>
      </c>
      <c r="J17" s="5" t="n">
        <v>75</v>
      </c>
      <c r="K17" s="5" t="n">
        <v>76</v>
      </c>
      <c r="L17" s="5" t="n">
        <v>50</v>
      </c>
      <c r="M17" s="5" t="n">
        <v>90</v>
      </c>
      <c r="N17" s="5">
        <f>SUM(H17:M17)</f>
        <v/>
      </c>
      <c r="O17" s="11">
        <f>RANK(H17,$H$5:$H$37)</f>
        <v/>
      </c>
      <c r="P17" s="11">
        <f>RANK(N17,$N$5:$N$37)</f>
        <v/>
      </c>
    </row>
    <row r="18" ht="26" customHeight="1">
      <c r="A18" s="5" t="inlineStr">
        <is>
          <t>012</t>
        </is>
      </c>
      <c r="B18" s="5" t="n"/>
      <c r="C18" s="21" t="inlineStr">
        <is>
          <t>Irisal</t>
        </is>
      </c>
      <c r="D18" s="27" t="inlineStr">
        <is>
          <t>Plante</t>
        </is>
      </c>
      <c r="E18" s="15" t="inlineStr">
        <is>
          <t>DPS</t>
        </is>
      </c>
      <c r="F18" s="24" t="inlineStr">
        <is>
          <t>🪁 Loisir (Leisure)</t>
        </is>
      </c>
      <c r="G18" s="25" t="inlineStr">
        <is>
          <t>Lv.4</t>
        </is>
      </c>
      <c r="H18" s="5" t="n">
        <v>116</v>
      </c>
      <c r="I18" s="5" t="n">
        <v>100</v>
      </c>
      <c r="J18" s="5" t="n">
        <v>70</v>
      </c>
      <c r="K18" s="5" t="n">
        <v>70</v>
      </c>
      <c r="L18" s="5" t="n">
        <v>50</v>
      </c>
      <c r="M18" s="5" t="n">
        <v>98</v>
      </c>
      <c r="N18" s="5">
        <f>SUM(H18:M18)</f>
        <v/>
      </c>
      <c r="O18" s="11">
        <f>RANK(H18,$H$5:$H$37)</f>
        <v/>
      </c>
      <c r="P18" s="11">
        <f>RANK(N18,$N$5:$N$37)</f>
        <v/>
      </c>
    </row>
    <row r="19" ht="26" customHeight="1">
      <c r="A19" s="5" t="inlineStr">
        <is>
          <t>9997</t>
        </is>
      </c>
      <c r="B19" s="5" t="n"/>
      <c r="C19" s="21" t="inlineStr">
        <is>
          <t>Fennelun</t>
        </is>
      </c>
      <c r="D19" s="30" t="inlineStr">
        <is>
          <t>Lumière</t>
        </is>
      </c>
      <c r="E19" s="15" t="inlineStr">
        <is>
          <t>DPS</t>
        </is>
      </c>
      <c r="F19" s="28" t="inlineStr">
        <is>
          <t>—  n.c.</t>
        </is>
      </c>
      <c r="G19" s="29" t="inlineStr">
        <is>
          <t>—</t>
        </is>
      </c>
      <c r="H19" s="5" t="n">
        <v>116</v>
      </c>
      <c r="I19" s="5" t="n">
        <v>90</v>
      </c>
      <c r="J19" s="5" t="n">
        <v>65</v>
      </c>
      <c r="K19" s="5" t="n">
        <v>65</v>
      </c>
      <c r="L19" s="5" t="n">
        <v>85</v>
      </c>
      <c r="M19" s="5" t="n">
        <v>83</v>
      </c>
      <c r="N19" s="5">
        <f>SUM(H19:M19)</f>
        <v/>
      </c>
      <c r="O19" s="11">
        <f>RANK(H19,$H$5:$H$37)</f>
        <v/>
      </c>
      <c r="P19" s="11">
        <f>RANK(N19,$N$5:$N$37)</f>
        <v/>
      </c>
    </row>
    <row r="20" ht="26" customHeight="1">
      <c r="A20" s="5" t="inlineStr">
        <is>
          <t>9998</t>
        </is>
      </c>
      <c r="B20" s="5" t="n"/>
      <c r="C20" s="21" t="inlineStr">
        <is>
          <t>Helion</t>
        </is>
      </c>
      <c r="D20" s="30" t="inlineStr">
        <is>
          <t>Lumière</t>
        </is>
      </c>
      <c r="E20" s="15" t="inlineStr">
        <is>
          <t>DPS</t>
        </is>
      </c>
      <c r="F20" s="19" t="inlineStr">
        <is>
          <t>🔨 Artisanat (Artisanship)</t>
        </is>
      </c>
      <c r="G20" s="20" t="inlineStr">
        <is>
          <t>Lv.3</t>
        </is>
      </c>
      <c r="H20" s="5" t="n">
        <v>116</v>
      </c>
      <c r="I20" s="5" t="n">
        <v>90</v>
      </c>
      <c r="J20" s="5" t="n">
        <v>65</v>
      </c>
      <c r="K20" s="5" t="n">
        <v>65</v>
      </c>
      <c r="L20" s="5" t="n">
        <v>85</v>
      </c>
      <c r="M20" s="5" t="n">
        <v>83</v>
      </c>
      <c r="N20" s="5">
        <f>SUM(H20:M20)</f>
        <v/>
      </c>
      <c r="O20" s="11">
        <f>RANK(H20,$H$5:$H$37)</f>
        <v/>
      </c>
      <c r="P20" s="11">
        <f>RANK(N20,$N$5:$N$37)</f>
        <v/>
      </c>
    </row>
    <row r="21" ht="26" customHeight="1">
      <c r="A21" s="5" t="inlineStr">
        <is>
          <t>003</t>
        </is>
      </c>
      <c r="B21" s="5" t="n"/>
      <c r="C21" s="21" t="inlineStr">
        <is>
          <t>Scorchhowl</t>
        </is>
      </c>
      <c r="D21" s="31" t="inlineStr">
        <is>
          <t>Feu</t>
        </is>
      </c>
      <c r="E21" s="15" t="inlineStr">
        <is>
          <t>DPS</t>
        </is>
      </c>
      <c r="F21" s="9" t="inlineStr">
        <is>
          <t>📦 Portage (Carry)</t>
        </is>
      </c>
      <c r="G21" s="10" t="inlineStr">
        <is>
          <t>Lv.1</t>
        </is>
      </c>
      <c r="H21" s="5" t="n">
        <v>115</v>
      </c>
      <c r="I21" s="5" t="n">
        <v>90</v>
      </c>
      <c r="J21" s="5" t="n">
        <v>80</v>
      </c>
      <c r="K21" s="5" t="n">
        <v>70</v>
      </c>
      <c r="L21" s="5" t="n">
        <v>50</v>
      </c>
      <c r="M21" s="5" t="n">
        <v>90</v>
      </c>
      <c r="N21" s="5">
        <f>SUM(H21:M21)</f>
        <v/>
      </c>
      <c r="O21" s="11">
        <f>RANK(H21,$H$5:$H$37)</f>
        <v/>
      </c>
      <c r="P21" s="11">
        <f>RANK(N21,$N$5:$N$37)</f>
        <v/>
      </c>
    </row>
    <row r="22" ht="26" customHeight="1">
      <c r="A22" s="5" t="inlineStr">
        <is>
          <t>068</t>
        </is>
      </c>
      <c r="B22" s="5" t="n"/>
      <c r="C22" s="21" t="inlineStr">
        <is>
          <t>Infergon</t>
        </is>
      </c>
      <c r="D22" s="31" t="inlineStr">
        <is>
          <t>Feu</t>
        </is>
      </c>
      <c r="E22" s="15" t="inlineStr">
        <is>
          <t>DPS</t>
        </is>
      </c>
      <c r="F22" s="28" t="inlineStr">
        <is>
          <t>—  n.c.</t>
        </is>
      </c>
      <c r="G22" s="29" t="inlineStr">
        <is>
          <t>—</t>
        </is>
      </c>
      <c r="H22" s="5" t="n">
        <v>114</v>
      </c>
      <c r="I22" s="5" t="n">
        <v>100</v>
      </c>
      <c r="J22" s="5" t="n">
        <v>81</v>
      </c>
      <c r="K22" s="5" t="n">
        <v>98</v>
      </c>
      <c r="L22" s="5" t="n">
        <v>53</v>
      </c>
      <c r="M22" s="5" t="n">
        <v>90</v>
      </c>
      <c r="N22" s="5">
        <f>SUM(H22:M22)</f>
        <v/>
      </c>
      <c r="O22" s="11">
        <f>RANK(H22,$H$5:$H$37)</f>
        <v/>
      </c>
      <c r="P22" s="11">
        <f>RANK(N22,$N$5:$N$37)</f>
        <v/>
      </c>
    </row>
    <row r="23" ht="26" customHeight="1">
      <c r="A23" s="5" t="inlineStr">
        <is>
          <t>055</t>
        </is>
      </c>
      <c r="B23" s="5" t="n"/>
      <c r="C23" s="21" t="inlineStr">
        <is>
          <t>Sheldon</t>
        </is>
      </c>
      <c r="D23" s="26" t="inlineStr">
        <is>
          <t>Eau</t>
        </is>
      </c>
      <c r="E23" s="15" t="inlineStr">
        <is>
          <t>DPS</t>
        </is>
      </c>
      <c r="F23" s="24" t="inlineStr">
        <is>
          <t>🪁 Loisir (Leisure)</t>
        </is>
      </c>
      <c r="G23" s="25" t="inlineStr">
        <is>
          <t>Lv.4</t>
        </is>
      </c>
      <c r="H23" s="5" t="n">
        <v>109</v>
      </c>
      <c r="I23" s="5" t="n">
        <v>90</v>
      </c>
      <c r="J23" s="5" t="n">
        <v>68</v>
      </c>
      <c r="K23" s="5" t="n">
        <v>68</v>
      </c>
      <c r="L23" s="5" t="n">
        <v>44</v>
      </c>
      <c r="M23" s="5" t="n">
        <v>79</v>
      </c>
      <c r="N23" s="5">
        <f>SUM(H23:M23)</f>
        <v/>
      </c>
      <c r="O23" s="11">
        <f>RANK(H23,$H$5:$H$37)</f>
        <v/>
      </c>
      <c r="P23" s="11">
        <f>RANK(N23,$N$5:$N$37)</f>
        <v/>
      </c>
    </row>
    <row r="24" ht="26" customHeight="1">
      <c r="A24" s="5" t="inlineStr">
        <is>
          <t>042</t>
        </is>
      </c>
      <c r="B24" s="5" t="n"/>
      <c r="C24" s="21" t="inlineStr">
        <is>
          <t>Wisptis</t>
        </is>
      </c>
      <c r="D24" s="18" t="inlineStr">
        <is>
          <t>Ténèbres</t>
        </is>
      </c>
      <c r="E24" s="15" t="inlineStr">
        <is>
          <t>DPS</t>
        </is>
      </c>
      <c r="F24" s="19" t="inlineStr">
        <is>
          <t>🔨 Artisanat (Artisanship)</t>
        </is>
      </c>
      <c r="G24" s="20" t="inlineStr">
        <is>
          <t>Lv.3</t>
        </is>
      </c>
      <c r="H24" s="5" t="n">
        <v>108</v>
      </c>
      <c r="I24" s="5" t="n">
        <v>77</v>
      </c>
      <c r="J24" s="5" t="n">
        <v>60</v>
      </c>
      <c r="K24" s="5" t="n">
        <v>54</v>
      </c>
      <c r="L24" s="5" t="n">
        <v>43</v>
      </c>
      <c r="M24" s="5" t="n">
        <v>77</v>
      </c>
      <c r="N24" s="5">
        <f>SUM(H24:M24)</f>
        <v/>
      </c>
      <c r="O24" s="11">
        <f>RANK(H24,$H$5:$H$37)</f>
        <v/>
      </c>
      <c r="P24" s="11">
        <f>RANK(N24,$N$5:$N$37)</f>
        <v/>
      </c>
    </row>
    <row r="25" ht="26" customHeight="1">
      <c r="A25" s="5" t="inlineStr">
        <is>
          <t>069</t>
        </is>
      </c>
      <c r="B25" s="5" t="n"/>
      <c r="C25" s="21" t="inlineStr">
        <is>
          <t>Cubbo</t>
        </is>
      </c>
      <c r="D25" s="22" t="inlineStr">
        <is>
          <t>Roche</t>
        </is>
      </c>
      <c r="E25" s="15" t="inlineStr">
        <is>
          <t>DPS</t>
        </is>
      </c>
      <c r="F25" s="9" t="inlineStr">
        <is>
          <t>📦 Portage (Carry)</t>
        </is>
      </c>
      <c r="G25" s="10" t="inlineStr">
        <is>
          <t>Lv.1</t>
        </is>
      </c>
      <c r="H25" s="5" t="n">
        <v>107</v>
      </c>
      <c r="I25" s="5" t="n">
        <v>92</v>
      </c>
      <c r="J25" s="5" t="n">
        <v>71</v>
      </c>
      <c r="K25" s="5" t="n">
        <v>62</v>
      </c>
      <c r="L25" s="5" t="n">
        <v>42</v>
      </c>
      <c r="M25" s="5" t="n">
        <v>71</v>
      </c>
      <c r="N25" s="5">
        <f>SUM(H25:M25)</f>
        <v/>
      </c>
      <c r="O25" s="11">
        <f>RANK(H25,$H$5:$H$37)</f>
        <v/>
      </c>
      <c r="P25" s="11">
        <f>RANK(N25,$N$5:$N$37)</f>
        <v/>
      </c>
    </row>
    <row r="26" ht="26" customHeight="1">
      <c r="A26" s="5" t="inlineStr">
        <is>
          <t>060</t>
        </is>
      </c>
      <c r="B26" s="5" t="n"/>
      <c r="C26" s="21" t="inlineStr">
        <is>
          <t>Fentuft</t>
        </is>
      </c>
      <c r="D26" s="14" t="inlineStr">
        <is>
          <t>Foudre</t>
        </is>
      </c>
      <c r="E26" s="15" t="inlineStr">
        <is>
          <t>DPS</t>
        </is>
      </c>
      <c r="F26" s="9" t="inlineStr">
        <is>
          <t>📦 Portage (Carry)</t>
        </is>
      </c>
      <c r="G26" s="10" t="inlineStr">
        <is>
          <t>Lv.1</t>
        </is>
      </c>
      <c r="H26" s="5" t="n">
        <v>106</v>
      </c>
      <c r="I26" s="5" t="n">
        <v>85</v>
      </c>
      <c r="J26" s="5" t="n">
        <v>60</v>
      </c>
      <c r="K26" s="5" t="n">
        <v>60</v>
      </c>
      <c r="L26" s="5" t="n">
        <v>41</v>
      </c>
      <c r="M26" s="5" t="n">
        <v>77</v>
      </c>
      <c r="N26" s="5">
        <f>SUM(H26:M26)</f>
        <v/>
      </c>
      <c r="O26" s="11">
        <f>RANK(H26,$H$5:$H$37)</f>
        <v/>
      </c>
      <c r="P26" s="11">
        <f>RANK(N26,$N$5:$N$37)</f>
        <v/>
      </c>
    </row>
    <row r="27" ht="26" customHeight="1">
      <c r="A27" s="5" t="inlineStr">
        <is>
          <t>005</t>
        </is>
      </c>
      <c r="B27" s="5" t="n"/>
      <c r="C27" s="21" t="inlineStr">
        <is>
          <t>Celestis</t>
        </is>
      </c>
      <c r="D27" s="18" t="inlineStr">
        <is>
          <t>Ténèbres</t>
        </is>
      </c>
      <c r="E27" s="15" t="inlineStr">
        <is>
          <t>DPS</t>
        </is>
      </c>
      <c r="F27" s="24" t="inlineStr">
        <is>
          <t>🪁 Loisir (Leisure)</t>
        </is>
      </c>
      <c r="G27" s="25" t="inlineStr">
        <is>
          <t>Lv.4</t>
        </is>
      </c>
      <c r="H27" s="5" t="n">
        <v>106</v>
      </c>
      <c r="I27" s="5" t="n">
        <v>77</v>
      </c>
      <c r="J27" s="5" t="n">
        <v>54</v>
      </c>
      <c r="K27" s="5" t="n">
        <v>57</v>
      </c>
      <c r="L27" s="5" t="n">
        <v>42</v>
      </c>
      <c r="M27" s="5" t="n">
        <v>76</v>
      </c>
      <c r="N27" s="5">
        <f>SUM(H27:M27)</f>
        <v/>
      </c>
      <c r="O27" s="11">
        <f>RANK(H27,$H$5:$H$37)</f>
        <v/>
      </c>
      <c r="P27" s="11">
        <f>RANK(N27,$N$5:$N$37)</f>
        <v/>
      </c>
    </row>
    <row r="28" ht="26" customHeight="1">
      <c r="A28" s="5" t="inlineStr">
        <is>
          <t>092</t>
        </is>
      </c>
      <c r="B28" s="5" t="n"/>
      <c r="C28" s="21" t="inlineStr">
        <is>
          <t>Malangel</t>
        </is>
      </c>
      <c r="D28" s="23" t="inlineStr">
        <is>
          <t>Glace</t>
        </is>
      </c>
      <c r="E28" s="15" t="inlineStr">
        <is>
          <t>DPS</t>
        </is>
      </c>
      <c r="F28" s="19" t="inlineStr">
        <is>
          <t>🔨 Artisanat (Artisanship)</t>
        </is>
      </c>
      <c r="G28" s="20" t="inlineStr">
        <is>
          <t>Lv.3</t>
        </is>
      </c>
      <c r="H28" s="5" t="n">
        <v>105</v>
      </c>
      <c r="I28" s="5" t="n">
        <v>100</v>
      </c>
      <c r="J28" s="5" t="n">
        <v>80</v>
      </c>
      <c r="K28" s="5" t="n">
        <v>80</v>
      </c>
      <c r="L28" s="5" t="n">
        <v>50</v>
      </c>
      <c r="M28" s="5" t="n">
        <v>100</v>
      </c>
      <c r="N28" s="5">
        <f>SUM(H28:M28)</f>
        <v/>
      </c>
      <c r="O28" s="11">
        <f>RANK(H28,$H$5:$H$37)</f>
        <v/>
      </c>
      <c r="P28" s="11">
        <f>RANK(N28,$N$5:$N$37)</f>
        <v/>
      </c>
    </row>
    <row r="29" ht="26" customHeight="1">
      <c r="A29" s="5" t="inlineStr">
        <is>
          <t>046</t>
        </is>
      </c>
      <c r="B29" s="5" t="n"/>
      <c r="C29" s="21" t="inlineStr">
        <is>
          <t>Fenrier</t>
        </is>
      </c>
      <c r="D29" s="23" t="inlineStr">
        <is>
          <t>Glace</t>
        </is>
      </c>
      <c r="E29" s="15" t="inlineStr">
        <is>
          <t>DPS</t>
        </is>
      </c>
      <c r="F29" s="19" t="inlineStr">
        <is>
          <t>🔨 Artisanat (Artisanship)</t>
        </is>
      </c>
      <c r="G29" s="20" t="inlineStr">
        <is>
          <t>Lv.3</t>
        </is>
      </c>
      <c r="H29" s="5" t="n">
        <v>105</v>
      </c>
      <c r="I29" s="5" t="n">
        <v>86</v>
      </c>
      <c r="J29" s="5" t="n">
        <v>68</v>
      </c>
      <c r="K29" s="5" t="n">
        <v>68</v>
      </c>
      <c r="L29" s="5" t="n">
        <v>45</v>
      </c>
      <c r="M29" s="5" t="n">
        <v>81</v>
      </c>
      <c r="N29" s="5">
        <f>SUM(H29:M29)</f>
        <v/>
      </c>
      <c r="O29" s="11">
        <f>RANK(H29,$H$5:$H$37)</f>
        <v/>
      </c>
      <c r="P29" s="11">
        <f>RANK(N29,$N$5:$N$37)</f>
        <v/>
      </c>
    </row>
    <row r="30" ht="26" customHeight="1">
      <c r="A30" s="5" t="inlineStr">
        <is>
          <t>002</t>
        </is>
      </c>
      <c r="B30" s="5" t="n"/>
      <c r="C30" s="21" t="inlineStr">
        <is>
          <t>Flameruff</t>
        </is>
      </c>
      <c r="D30" s="31" t="inlineStr">
        <is>
          <t>Feu</t>
        </is>
      </c>
      <c r="E30" s="15" t="inlineStr">
        <is>
          <t>DPS</t>
        </is>
      </c>
      <c r="F30" s="9" t="inlineStr">
        <is>
          <t>📦 Portage (Carry)</t>
        </is>
      </c>
      <c r="G30" s="10" t="inlineStr">
        <is>
          <t>Lv.1</t>
        </is>
      </c>
      <c r="H30" s="5" t="n">
        <v>104</v>
      </c>
      <c r="I30" s="5" t="n">
        <v>81</v>
      </c>
      <c r="J30" s="5" t="n">
        <v>72</v>
      </c>
      <c r="K30" s="5" t="n">
        <v>63</v>
      </c>
      <c r="L30" s="5" t="n">
        <v>45</v>
      </c>
      <c r="M30" s="5" t="n">
        <v>80</v>
      </c>
      <c r="N30" s="5">
        <f>SUM(H30:M30)</f>
        <v/>
      </c>
      <c r="O30" s="11">
        <f>RANK(H30,$H$5:$H$37)</f>
        <v/>
      </c>
      <c r="P30" s="11">
        <f>RANK(N30,$N$5:$N$37)</f>
        <v/>
      </c>
    </row>
    <row r="31" ht="26" customHeight="1">
      <c r="A31" s="5" t="inlineStr">
        <is>
          <t>034</t>
        </is>
      </c>
      <c r="B31" s="5" t="n"/>
      <c r="C31" s="21" t="inlineStr">
        <is>
          <t>Budsquire</t>
        </is>
      </c>
      <c r="D31" s="27" t="inlineStr">
        <is>
          <t>Plante</t>
        </is>
      </c>
      <c r="E31" s="15" t="inlineStr">
        <is>
          <t>DPS</t>
        </is>
      </c>
      <c r="F31" s="19" t="inlineStr">
        <is>
          <t>🔨 Artisanat (Artisanship)</t>
        </is>
      </c>
      <c r="G31" s="20" t="inlineStr">
        <is>
          <t>Lv.3</t>
        </is>
      </c>
      <c r="H31" s="5" t="n">
        <v>103</v>
      </c>
      <c r="I31" s="5" t="n">
        <v>82</v>
      </c>
      <c r="J31" s="5" t="n">
        <v>59</v>
      </c>
      <c r="K31" s="5" t="n">
        <v>59</v>
      </c>
      <c r="L31" s="5" t="n">
        <v>43</v>
      </c>
      <c r="M31" s="5" t="n">
        <v>78</v>
      </c>
      <c r="N31" s="5">
        <f>SUM(H31:M31)</f>
        <v/>
      </c>
      <c r="O31" s="11">
        <f>RANK(H31,$H$5:$H$37)</f>
        <v/>
      </c>
      <c r="P31" s="11">
        <f>RANK(N31,$N$5:$N$37)</f>
        <v/>
      </c>
    </row>
    <row r="32" ht="26" customHeight="1">
      <c r="A32" s="5" t="inlineStr">
        <is>
          <t>090</t>
        </is>
      </c>
      <c r="B32" s="5" t="n"/>
      <c r="C32" s="21" t="inlineStr">
        <is>
          <t>Popapus</t>
        </is>
      </c>
      <c r="D32" s="26" t="inlineStr">
        <is>
          <t>Eau</t>
        </is>
      </c>
      <c r="E32" s="15" t="inlineStr">
        <is>
          <t>DPS</t>
        </is>
      </c>
      <c r="F32" s="28" t="inlineStr">
        <is>
          <t>—  n.c.</t>
        </is>
      </c>
      <c r="G32" s="29" t="inlineStr">
        <is>
          <t>—</t>
        </is>
      </c>
      <c r="H32" s="5" t="n">
        <v>102</v>
      </c>
      <c r="I32" s="5" t="n">
        <v>90</v>
      </c>
      <c r="J32" s="5" t="n">
        <v>58</v>
      </c>
      <c r="K32" s="5" t="n">
        <v>65</v>
      </c>
      <c r="L32" s="5" t="n">
        <v>45</v>
      </c>
      <c r="M32" s="5" t="n">
        <v>90</v>
      </c>
      <c r="N32" s="5">
        <f>SUM(H32:M32)</f>
        <v/>
      </c>
      <c r="O32" s="11">
        <f>RANK(H32,$H$5:$H$37)</f>
        <v/>
      </c>
      <c r="P32" s="11">
        <f>RANK(N32,$N$5:$N$37)</f>
        <v/>
      </c>
    </row>
    <row r="33" ht="26" customHeight="1">
      <c r="A33" s="5" t="inlineStr">
        <is>
          <t>057</t>
        </is>
      </c>
      <c r="B33" s="5" t="n"/>
      <c r="C33" s="21" t="inlineStr">
        <is>
          <t>Baleetle</t>
        </is>
      </c>
      <c r="D33" s="22" t="inlineStr">
        <is>
          <t>Roche</t>
        </is>
      </c>
      <c r="E33" s="15" t="inlineStr">
        <is>
          <t>DPS</t>
        </is>
      </c>
      <c r="F33" s="24" t="inlineStr">
        <is>
          <t>🪁 Loisir (Leisure)</t>
        </is>
      </c>
      <c r="G33" s="25" t="inlineStr">
        <is>
          <t>Lv.4</t>
        </is>
      </c>
      <c r="H33" s="5" t="n">
        <v>102</v>
      </c>
      <c r="I33" s="5" t="n">
        <v>77</v>
      </c>
      <c r="J33" s="5" t="n">
        <v>68</v>
      </c>
      <c r="K33" s="5" t="n">
        <v>68</v>
      </c>
      <c r="L33" s="5" t="n">
        <v>42</v>
      </c>
      <c r="M33" s="5" t="n">
        <v>85</v>
      </c>
      <c r="N33" s="5">
        <f>SUM(H33:M33)</f>
        <v/>
      </c>
      <c r="O33" s="11">
        <f>RANK(H33,$H$5:$H$37)</f>
        <v/>
      </c>
      <c r="P33" s="11">
        <f>RANK(N33,$N$5:$N$37)</f>
        <v/>
      </c>
    </row>
    <row r="34" ht="26" customHeight="1">
      <c r="A34" s="5" t="inlineStr">
        <is>
          <t>011</t>
        </is>
      </c>
      <c r="B34" s="5" t="n"/>
      <c r="C34" s="21" t="inlineStr">
        <is>
          <t>Iris</t>
        </is>
      </c>
      <c r="D34" s="27" t="inlineStr">
        <is>
          <t>Plante</t>
        </is>
      </c>
      <c r="E34" s="15" t="inlineStr">
        <is>
          <t>DPS</t>
        </is>
      </c>
      <c r="F34" s="24" t="inlineStr">
        <is>
          <t>🪁 Loisir (Leisure)</t>
        </is>
      </c>
      <c r="G34" s="25" t="inlineStr">
        <is>
          <t>Lv.4</t>
        </is>
      </c>
      <c r="H34" s="5" t="n">
        <v>101</v>
      </c>
      <c r="I34" s="5" t="n">
        <v>69</v>
      </c>
      <c r="J34" s="5" t="n">
        <v>53</v>
      </c>
      <c r="K34" s="5" t="n">
        <v>53</v>
      </c>
      <c r="L34" s="5" t="n">
        <v>50</v>
      </c>
      <c r="M34" s="5" t="n">
        <v>71</v>
      </c>
      <c r="N34" s="5">
        <f>SUM(H34:M34)</f>
        <v/>
      </c>
      <c r="O34" s="11">
        <f>RANK(H34,$H$5:$H$37)</f>
        <v/>
      </c>
      <c r="P34" s="11">
        <f>RANK(N34,$N$5:$N$37)</f>
        <v/>
      </c>
    </row>
    <row r="35" ht="26" customHeight="1">
      <c r="A35" s="5" t="inlineStr">
        <is>
          <t>054</t>
        </is>
      </c>
      <c r="B35" s="5" t="n"/>
      <c r="C35" s="21" t="inlineStr">
        <is>
          <t>Shelly</t>
        </is>
      </c>
      <c r="D35" s="26" t="inlineStr">
        <is>
          <t>Eau</t>
        </is>
      </c>
      <c r="E35" s="15" t="inlineStr">
        <is>
          <t>DPS</t>
        </is>
      </c>
      <c r="F35" s="24" t="inlineStr">
        <is>
          <t>🪁 Loisir (Leisure)</t>
        </is>
      </c>
      <c r="G35" s="25" t="inlineStr">
        <is>
          <t>Lv.4</t>
        </is>
      </c>
      <c r="H35" s="5" t="n">
        <v>90</v>
      </c>
      <c r="I35" s="5" t="n">
        <v>75</v>
      </c>
      <c r="J35" s="5" t="n">
        <v>56</v>
      </c>
      <c r="K35" s="5" t="n">
        <v>56</v>
      </c>
      <c r="L35" s="5" t="n">
        <v>39</v>
      </c>
      <c r="M35" s="5" t="n">
        <v>66</v>
      </c>
      <c r="N35" s="5">
        <f>SUM(H35:M35)</f>
        <v/>
      </c>
      <c r="O35" s="11">
        <f>RANK(H35,$H$5:$H$37)</f>
        <v/>
      </c>
      <c r="P35" s="11">
        <f>RANK(N35,$N$5:$N$37)</f>
        <v/>
      </c>
    </row>
    <row r="36" ht="26" customHeight="1">
      <c r="A36" s="5" t="inlineStr">
        <is>
          <t>045</t>
        </is>
      </c>
      <c r="B36" s="5" t="n"/>
      <c r="C36" s="21" t="inlineStr">
        <is>
          <t>Bonesky</t>
        </is>
      </c>
      <c r="D36" s="23" t="inlineStr">
        <is>
          <t>Glace</t>
        </is>
      </c>
      <c r="E36" s="15" t="inlineStr">
        <is>
          <t>DPS</t>
        </is>
      </c>
      <c r="F36" s="19" t="inlineStr">
        <is>
          <t>🔨 Artisanat (Artisanship)</t>
        </is>
      </c>
      <c r="G36" s="20" t="inlineStr">
        <is>
          <t>Lv.3</t>
        </is>
      </c>
      <c r="H36" s="5" t="n">
        <v>88</v>
      </c>
      <c r="I36" s="5" t="n">
        <v>71</v>
      </c>
      <c r="J36" s="5" t="n">
        <v>56</v>
      </c>
      <c r="K36" s="5" t="n">
        <v>57</v>
      </c>
      <c r="L36" s="5" t="n">
        <v>38</v>
      </c>
      <c r="M36" s="5" t="n">
        <v>67</v>
      </c>
      <c r="N36" s="5">
        <f>SUM(H36:M36)</f>
        <v/>
      </c>
      <c r="O36" s="11">
        <f>RANK(H36,$H$5:$H$37)</f>
        <v/>
      </c>
      <c r="P36" s="11">
        <f>RANK(N36,$N$5:$N$37)</f>
        <v/>
      </c>
    </row>
    <row r="37" ht="26" customHeight="1">
      <c r="A37" s="5" t="inlineStr">
        <is>
          <t>001</t>
        </is>
      </c>
      <c r="B37" s="5" t="n"/>
      <c r="C37" s="21" t="inlineStr">
        <is>
          <t>Emberpup</t>
        </is>
      </c>
      <c r="D37" s="31" t="inlineStr">
        <is>
          <t>Feu</t>
        </is>
      </c>
      <c r="E37" s="15" t="inlineStr">
        <is>
          <t>DPS</t>
        </is>
      </c>
      <c r="F37" s="9" t="inlineStr">
        <is>
          <t>📦 Portage (Carry)</t>
        </is>
      </c>
      <c r="G37" s="10" t="inlineStr">
        <is>
          <t>Lv.1</t>
        </is>
      </c>
      <c r="H37" s="5" t="n">
        <v>86</v>
      </c>
      <c r="I37" s="5" t="n">
        <v>67</v>
      </c>
      <c r="J37" s="5" t="n">
        <v>60</v>
      </c>
      <c r="K37" s="5" t="n">
        <v>53</v>
      </c>
      <c r="L37" s="5" t="n">
        <v>38</v>
      </c>
      <c r="M37" s="5" t="n">
        <v>67</v>
      </c>
      <c r="N37" s="5">
        <f>SUM(H37:M37)</f>
        <v/>
      </c>
      <c r="O37" s="11">
        <f>RANK(H37,$H$5:$H$37)</f>
        <v/>
      </c>
      <c r="P37" s="11">
        <f>RANK(N37,$N$5:$N$37)</f>
        <v/>
      </c>
    </row>
    <row r="39" ht="40" customHeight="1">
      <c r="A39" s="36" t="inlineStr">
        <is>
          <t>Tri : ATK décroissante (puis Total). Icône : pastille aux couleurs de l'élément, initiales de l'Aniimo, pastille de rôle en bas à droite. Couleur de la colonne Métier = métier ; couleur de « Niv. max métier » = niveau (gris Lv.1 → doré Lv.4). « n.c. » = aucun métier Homeland recensé. Note : dans Excel les images ne suivent pas le filtre automatique — la version web n'a pas ce défaut.</t>
        </is>
      </c>
    </row>
  </sheetData>
  <autoFilter ref="A4:P37"/>
  <mergeCells count="3">
    <mergeCell ref="A39:P39"/>
    <mergeCell ref="A1:P1"/>
    <mergeCell ref="A2:P2"/>
  </mergeCells>
  <conditionalFormatting sqref="H5:H3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:N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37">
    <cfRule type="colorScale" priority="3">
      <colorScale>
        <cfvo type="min"/>
        <cfvo type="max"/>
        <color rgb="00FFFFFF"/>
        <color rgb="009BC2E6"/>
      </colorScale>
    </cfRule>
  </conditionalFormatting>
  <conditionalFormatting sqref="J5:J37">
    <cfRule type="colorScale" priority="4">
      <colorScale>
        <cfvo type="min"/>
        <cfvo type="max"/>
        <color rgb="00FFFFFF"/>
        <color rgb="009BC2E6"/>
      </colorScale>
    </cfRule>
  </conditionalFormatting>
  <conditionalFormatting sqref="K5:K37">
    <cfRule type="colorScale" priority="5">
      <colorScale>
        <cfvo type="min"/>
        <cfvo type="max"/>
        <color rgb="00FFFFFF"/>
        <color rgb="009BC2E6"/>
      </colorScale>
    </cfRule>
  </conditionalFormatting>
  <conditionalFormatting sqref="L5:L37">
    <cfRule type="colorScale" priority="6">
      <colorScale>
        <cfvo type="min"/>
        <cfvo type="max"/>
        <color rgb="00FFFFFF"/>
        <color rgb="009BC2E6"/>
      </colorScale>
    </cfRule>
  </conditionalFormatting>
  <conditionalFormatting sqref="M5:M37">
    <cfRule type="colorScale" priority="7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20" customWidth="1" min="5" max="5"/>
    <col width="34" customWidth="1" min="6" max="6"/>
    <col width="13" customWidth="1" min="7" max="7"/>
    <col width="8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4" customWidth="1" min="14" max="14"/>
    <col width="9" customWidth="1" min="15" max="15"/>
    <col width="10" customWidth="1" min="16" max="16"/>
  </cols>
  <sheetData>
    <row r="1">
      <c r="A1" s="1" t="inlineStr">
        <is>
          <t>ANIIMO — Rôle HEAL / Soin (7)</t>
        </is>
      </c>
    </row>
    <row r="2">
      <c r="A2" s="2" t="inlineStr">
        <is>
          <t>Classés du plus fort au moins fort (ATK décroissante). Mêmes colonnes et mêmes codes couleur que l'onglet général.</t>
        </is>
      </c>
    </row>
    <row r="4" ht="30" customHeight="1">
      <c r="A4" s="3" t="inlineStr">
        <is>
          <t>N°</t>
        </is>
      </c>
      <c r="B4" s="3" t="inlineStr">
        <is>
          <t>Icône</t>
        </is>
      </c>
      <c r="C4" s="3" t="inlineStr">
        <is>
          <t>Nom</t>
        </is>
      </c>
      <c r="D4" s="3" t="inlineStr">
        <is>
          <t>Élément(s)</t>
        </is>
      </c>
      <c r="E4" s="3" t="inlineStr">
        <is>
          <t>Rôle</t>
        </is>
      </c>
      <c r="F4" s="3" t="inlineStr">
        <is>
          <t>Métier (Homeland)</t>
        </is>
      </c>
      <c r="G4" s="3" t="inlineStr">
        <is>
          <t>Niv. max métier</t>
        </is>
      </c>
      <c r="H4" s="3" t="inlineStr">
        <is>
          <t>ATK</t>
        </is>
      </c>
      <c r="I4" s="3" t="inlineStr">
        <is>
          <t>PV (HP)</t>
        </is>
      </c>
      <c r="J4" s="3" t="inlineStr">
        <is>
          <t>DÉF. Phys.</t>
        </is>
      </c>
      <c r="K4" s="3" t="inlineStr">
        <is>
          <t>DÉF. Mag.</t>
        </is>
      </c>
      <c r="L4" s="3" t="inlineStr">
        <is>
          <t>BREAK</t>
        </is>
      </c>
      <c r="M4" s="3" t="inlineStr">
        <is>
          <t>REGEN</t>
        </is>
      </c>
      <c r="N4" s="3" t="inlineStr">
        <is>
          <t>Total attributs</t>
        </is>
      </c>
      <c r="O4" s="3" t="inlineStr">
        <is>
          <t>Rang ATK</t>
        </is>
      </c>
      <c r="P4" s="3" t="inlineStr">
        <is>
          <t>Rang Total</t>
        </is>
      </c>
    </row>
    <row r="5" ht="26" customHeight="1">
      <c r="A5" s="4" t="inlineStr">
        <is>
          <t>089</t>
        </is>
      </c>
      <c r="B5" s="5" t="n"/>
      <c r="C5" s="6" t="inlineStr">
        <is>
          <t>Glameep</t>
        </is>
      </c>
      <c r="D5" s="27" t="inlineStr">
        <is>
          <t>Plante, Eau</t>
        </is>
      </c>
      <c r="E5" s="34" t="inlineStr">
        <is>
          <t>HEAL</t>
        </is>
      </c>
      <c r="F5" s="28" t="inlineStr">
        <is>
          <t>—  n.c.</t>
        </is>
      </c>
      <c r="G5" s="29" t="inlineStr">
        <is>
          <t>—</t>
        </is>
      </c>
      <c r="H5" s="5" t="n">
        <v>100</v>
      </c>
      <c r="I5" s="5" t="n">
        <v>122</v>
      </c>
      <c r="J5" s="5" t="n">
        <v>92</v>
      </c>
      <c r="K5" s="5" t="n">
        <v>89</v>
      </c>
      <c r="L5" s="5" t="n">
        <v>50</v>
      </c>
      <c r="M5" s="5" t="n">
        <v>97</v>
      </c>
      <c r="N5" s="5">
        <f>SUM(H5:M5)</f>
        <v/>
      </c>
      <c r="O5" s="11">
        <f>RANK(H5,$H$5:$H$11)</f>
        <v/>
      </c>
      <c r="P5" s="11">
        <f>RANK(N5,$N$5:$N$11)</f>
        <v/>
      </c>
    </row>
    <row r="6" ht="26" customHeight="1">
      <c r="A6" s="12" t="inlineStr">
        <is>
          <t>030</t>
        </is>
      </c>
      <c r="B6" s="5" t="n"/>
      <c r="C6" s="13" t="inlineStr">
        <is>
          <t>Gracewing</t>
        </is>
      </c>
      <c r="D6" s="7" t="inlineStr">
        <is>
          <t>Vent</t>
        </is>
      </c>
      <c r="E6" s="34" t="inlineStr">
        <is>
          <t>HEAL</t>
        </is>
      </c>
      <c r="F6" s="24" t="inlineStr">
        <is>
          <t>🪁 Loisir (Leisure)</t>
        </is>
      </c>
      <c r="G6" s="25" t="inlineStr">
        <is>
          <t>Lv.4</t>
        </is>
      </c>
      <c r="H6" s="5" t="n">
        <v>95</v>
      </c>
      <c r="I6" s="5" t="n">
        <v>110</v>
      </c>
      <c r="J6" s="5" t="n">
        <v>80</v>
      </c>
      <c r="K6" s="5" t="n">
        <v>80</v>
      </c>
      <c r="L6" s="5" t="n">
        <v>50</v>
      </c>
      <c r="M6" s="5" t="n">
        <v>100</v>
      </c>
      <c r="N6" s="5">
        <f>SUM(H6:M6)</f>
        <v/>
      </c>
      <c r="O6" s="11">
        <f>RANK(H6,$H$5:$H$11)</f>
        <v/>
      </c>
      <c r="P6" s="11">
        <f>RANK(N6,$N$5:$N$11)</f>
        <v/>
      </c>
    </row>
    <row r="7" ht="26" customHeight="1">
      <c r="A7" s="16" t="inlineStr">
        <is>
          <t>016</t>
        </is>
      </c>
      <c r="B7" s="5" t="n"/>
      <c r="C7" s="17" t="inlineStr">
        <is>
          <t>Glacy</t>
        </is>
      </c>
      <c r="D7" s="26" t="inlineStr">
        <is>
          <t>Eau, Glace</t>
        </is>
      </c>
      <c r="E7" s="34" t="inlineStr">
        <is>
          <t>HEAL</t>
        </is>
      </c>
      <c r="F7" s="9" t="inlineStr">
        <is>
          <t>📦 Portage (Carry)</t>
        </is>
      </c>
      <c r="G7" s="10" t="inlineStr">
        <is>
          <t>Lv.1</t>
        </is>
      </c>
      <c r="H7" s="5" t="n">
        <v>90</v>
      </c>
      <c r="I7" s="5" t="n">
        <v>118</v>
      </c>
      <c r="J7" s="5" t="n">
        <v>72</v>
      </c>
      <c r="K7" s="5" t="n">
        <v>110</v>
      </c>
      <c r="L7" s="5" t="n">
        <v>50</v>
      </c>
      <c r="M7" s="5" t="n">
        <v>80</v>
      </c>
      <c r="N7" s="5">
        <f>SUM(H7:M7)</f>
        <v/>
      </c>
      <c r="O7" s="11">
        <f>RANK(H7,$H$5:$H$11)</f>
        <v/>
      </c>
      <c r="P7" s="11">
        <f>RANK(N7,$N$5:$N$11)</f>
        <v/>
      </c>
    </row>
    <row r="8" ht="26" customHeight="1">
      <c r="A8" s="5" t="inlineStr">
        <is>
          <t>088</t>
        </is>
      </c>
      <c r="B8" s="5" t="n"/>
      <c r="C8" s="21" t="inlineStr">
        <is>
          <t>Bubbeep</t>
        </is>
      </c>
      <c r="D8" s="27" t="inlineStr">
        <is>
          <t>Plante, Eau</t>
        </is>
      </c>
      <c r="E8" s="34" t="inlineStr">
        <is>
          <t>HEAL</t>
        </is>
      </c>
      <c r="F8" s="28" t="inlineStr">
        <is>
          <t>—  n.c.</t>
        </is>
      </c>
      <c r="G8" s="29" t="inlineStr">
        <is>
          <t>—</t>
        </is>
      </c>
      <c r="H8" s="5" t="n">
        <v>85</v>
      </c>
      <c r="I8" s="5" t="n">
        <v>104</v>
      </c>
      <c r="J8" s="5" t="n">
        <v>78</v>
      </c>
      <c r="K8" s="5" t="n">
        <v>75</v>
      </c>
      <c r="L8" s="5" t="n">
        <v>43</v>
      </c>
      <c r="M8" s="5" t="n">
        <v>82</v>
      </c>
      <c r="N8" s="5">
        <f>SUM(H8:M8)</f>
        <v/>
      </c>
      <c r="O8" s="11">
        <f>RANK(H8,$H$5:$H$11)</f>
        <v/>
      </c>
      <c r="P8" s="11">
        <f>RANK(N8,$N$5:$N$11)</f>
        <v/>
      </c>
    </row>
    <row r="9" ht="26" customHeight="1">
      <c r="A9" s="5" t="inlineStr">
        <is>
          <t>015</t>
        </is>
      </c>
      <c r="B9" s="5" t="n"/>
      <c r="C9" s="21" t="inlineStr">
        <is>
          <t>Pranky</t>
        </is>
      </c>
      <c r="D9" s="26" t="inlineStr">
        <is>
          <t>Eau</t>
        </is>
      </c>
      <c r="E9" s="34" t="inlineStr">
        <is>
          <t>HEAL</t>
        </is>
      </c>
      <c r="F9" s="9" t="inlineStr">
        <is>
          <t>📦 Portage (Carry)</t>
        </is>
      </c>
      <c r="G9" s="10" t="inlineStr">
        <is>
          <t>Lv.1</t>
        </is>
      </c>
      <c r="H9" s="5" t="n">
        <v>81</v>
      </c>
      <c r="I9" s="5" t="n">
        <v>106</v>
      </c>
      <c r="J9" s="5" t="n">
        <v>65</v>
      </c>
      <c r="K9" s="5" t="n">
        <v>99</v>
      </c>
      <c r="L9" s="5" t="n">
        <v>45</v>
      </c>
      <c r="M9" s="5" t="n">
        <v>72</v>
      </c>
      <c r="N9" s="5">
        <f>SUM(H9:M9)</f>
        <v/>
      </c>
      <c r="O9" s="11">
        <f>RANK(H9,$H$5:$H$11)</f>
        <v/>
      </c>
      <c r="P9" s="11">
        <f>RANK(N9,$N$5:$N$11)</f>
        <v/>
      </c>
    </row>
    <row r="10" ht="26" customHeight="1">
      <c r="A10" s="5" t="inlineStr">
        <is>
          <t>029</t>
        </is>
      </c>
      <c r="B10" s="5" t="n"/>
      <c r="C10" s="21" t="inlineStr">
        <is>
          <t>Flutternym</t>
        </is>
      </c>
      <c r="D10" s="7" t="inlineStr">
        <is>
          <t>Vent</t>
        </is>
      </c>
      <c r="E10" s="34" t="inlineStr">
        <is>
          <t>HEAL</t>
        </is>
      </c>
      <c r="F10" s="24" t="inlineStr">
        <is>
          <t>🪁 Loisir (Leisure)</t>
        </is>
      </c>
      <c r="G10" s="25" t="inlineStr">
        <is>
          <t>Lv.4</t>
        </is>
      </c>
      <c r="H10" s="5" t="n">
        <v>81</v>
      </c>
      <c r="I10" s="5" t="n">
        <v>94</v>
      </c>
      <c r="J10" s="5" t="n">
        <v>68</v>
      </c>
      <c r="K10" s="5" t="n">
        <v>68</v>
      </c>
      <c r="L10" s="5" t="n">
        <v>41</v>
      </c>
      <c r="M10" s="5" t="n">
        <v>85</v>
      </c>
      <c r="N10" s="5">
        <f>SUM(H10:M10)</f>
        <v/>
      </c>
      <c r="O10" s="11">
        <f>RANK(H10,$H$5:$H$11)</f>
        <v/>
      </c>
      <c r="P10" s="11">
        <f>RANK(N10,$N$5:$N$11)</f>
        <v/>
      </c>
    </row>
    <row r="11" ht="26" customHeight="1">
      <c r="A11" s="5" t="inlineStr">
        <is>
          <t>014</t>
        </is>
      </c>
      <c r="B11" s="5" t="n"/>
      <c r="C11" s="21" t="inlineStr">
        <is>
          <t>Skippy</t>
        </is>
      </c>
      <c r="D11" s="26" t="inlineStr">
        <is>
          <t>Eau</t>
        </is>
      </c>
      <c r="E11" s="34" t="inlineStr">
        <is>
          <t>HEAL</t>
        </is>
      </c>
      <c r="F11" s="9" t="inlineStr">
        <is>
          <t>📦 Portage (Carry)</t>
        </is>
      </c>
      <c r="G11" s="10" t="inlineStr">
        <is>
          <t>Lv.1</t>
        </is>
      </c>
      <c r="H11" s="5" t="n">
        <v>54</v>
      </c>
      <c r="I11" s="5" t="n">
        <v>69</v>
      </c>
      <c r="J11" s="5" t="n">
        <v>45</v>
      </c>
      <c r="K11" s="5" t="n">
        <v>66</v>
      </c>
      <c r="L11" s="5" t="n">
        <v>50</v>
      </c>
      <c r="M11" s="5" t="n">
        <v>48</v>
      </c>
      <c r="N11" s="5">
        <f>SUM(H11:M11)</f>
        <v/>
      </c>
      <c r="O11" s="11">
        <f>RANK(H11,$H$5:$H$11)</f>
        <v/>
      </c>
      <c r="P11" s="11">
        <f>RANK(N11,$N$5:$N$11)</f>
        <v/>
      </c>
    </row>
    <row r="13" ht="40" customHeight="1">
      <c r="A13" s="36" t="inlineStr">
        <is>
          <t>Tri : ATK décroissante (puis Total). Icône : pastille aux couleurs de l'élément, initiales de l'Aniimo, pastille de rôle en bas à droite. Couleur de la colonne Métier = métier ; couleur de « Niv. max métier » = niveau (gris Lv.1 → doré Lv.4). « n.c. » = aucun métier Homeland recensé. Note : dans Excel les images ne suivent pas le filtre automatique — la version web n'a pas ce défaut.</t>
        </is>
      </c>
    </row>
  </sheetData>
  <autoFilter ref="A4:P11"/>
  <mergeCells count="3">
    <mergeCell ref="A1:P1"/>
    <mergeCell ref="A13:P13"/>
    <mergeCell ref="A2:P2"/>
  </mergeCells>
  <conditionalFormatting sqref="H5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:N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1">
    <cfRule type="colorScale" priority="3">
      <colorScale>
        <cfvo type="min"/>
        <cfvo type="max"/>
        <color rgb="00FFFFFF"/>
        <color rgb="009BC2E6"/>
      </colorScale>
    </cfRule>
  </conditionalFormatting>
  <conditionalFormatting sqref="J5:J11">
    <cfRule type="colorScale" priority="4">
      <colorScale>
        <cfvo type="min"/>
        <cfvo type="max"/>
        <color rgb="00FFFFFF"/>
        <color rgb="009BC2E6"/>
      </colorScale>
    </cfRule>
  </conditionalFormatting>
  <conditionalFormatting sqref="K5:K11">
    <cfRule type="colorScale" priority="5">
      <colorScale>
        <cfvo type="min"/>
        <cfvo type="max"/>
        <color rgb="00FFFFFF"/>
        <color rgb="009BC2E6"/>
      </colorScale>
    </cfRule>
  </conditionalFormatting>
  <conditionalFormatting sqref="L5:L11">
    <cfRule type="colorScale" priority="6">
      <colorScale>
        <cfvo type="min"/>
        <cfvo type="max"/>
        <color rgb="00FFFFFF"/>
        <color rgb="009BC2E6"/>
      </colorScale>
    </cfRule>
  </conditionalFormatting>
  <conditionalFormatting sqref="M5:M11">
    <cfRule type="colorScale" priority="7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20" customWidth="1" min="5" max="5"/>
    <col width="34" customWidth="1" min="6" max="6"/>
    <col width="13" customWidth="1" min="7" max="7"/>
    <col width="8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4" customWidth="1" min="14" max="14"/>
    <col width="9" customWidth="1" min="15" max="15"/>
    <col width="10" customWidth="1" min="16" max="16"/>
  </cols>
  <sheetData>
    <row r="1">
      <c r="A1" s="1" t="inlineStr">
        <is>
          <t>ANIIMO — Rôle BREAK / Brise-garde (26)</t>
        </is>
      </c>
    </row>
    <row r="2">
      <c r="A2" s="2" t="inlineStr">
        <is>
          <t>Classés du plus fort au moins fort (ATK décroissante). Mêmes colonnes et mêmes codes couleur que l'onglet général.</t>
        </is>
      </c>
    </row>
    <row r="4" ht="30" customHeight="1">
      <c r="A4" s="3" t="inlineStr">
        <is>
          <t>N°</t>
        </is>
      </c>
      <c r="B4" s="3" t="inlineStr">
        <is>
          <t>Icône</t>
        </is>
      </c>
      <c r="C4" s="3" t="inlineStr">
        <is>
          <t>Nom</t>
        </is>
      </c>
      <c r="D4" s="3" t="inlineStr">
        <is>
          <t>Élément(s)</t>
        </is>
      </c>
      <c r="E4" s="3" t="inlineStr">
        <is>
          <t>Rôle</t>
        </is>
      </c>
      <c r="F4" s="3" t="inlineStr">
        <is>
          <t>Métier (Homeland)</t>
        </is>
      </c>
      <c r="G4" s="3" t="inlineStr">
        <is>
          <t>Niv. max métier</t>
        </is>
      </c>
      <c r="H4" s="3" t="inlineStr">
        <is>
          <t>ATK</t>
        </is>
      </c>
      <c r="I4" s="3" t="inlineStr">
        <is>
          <t>PV (HP)</t>
        </is>
      </c>
      <c r="J4" s="3" t="inlineStr">
        <is>
          <t>DÉF. Phys.</t>
        </is>
      </c>
      <c r="K4" s="3" t="inlineStr">
        <is>
          <t>DÉF. Mag.</t>
        </is>
      </c>
      <c r="L4" s="3" t="inlineStr">
        <is>
          <t>BREAK</t>
        </is>
      </c>
      <c r="M4" s="3" t="inlineStr">
        <is>
          <t>REGEN</t>
        </is>
      </c>
      <c r="N4" s="3" t="inlineStr">
        <is>
          <t>Total attributs</t>
        </is>
      </c>
      <c r="O4" s="3" t="inlineStr">
        <is>
          <t>Rang ATK</t>
        </is>
      </c>
      <c r="P4" s="3" t="inlineStr">
        <is>
          <t>Rang Total</t>
        </is>
      </c>
    </row>
    <row r="5" ht="26" customHeight="1">
      <c r="A5" s="4" t="inlineStr">
        <is>
          <t>049</t>
        </is>
      </c>
      <c r="B5" s="5" t="n"/>
      <c r="C5" s="6" t="inlineStr">
        <is>
          <t>Blazen</t>
        </is>
      </c>
      <c r="D5" s="14" t="inlineStr">
        <is>
          <t>Foudre</t>
        </is>
      </c>
      <c r="E5" s="35" t="inlineStr">
        <is>
          <t>BREAK</t>
        </is>
      </c>
      <c r="F5" s="19" t="inlineStr">
        <is>
          <t>🔨 Artisanat (Artisanship)</t>
        </is>
      </c>
      <c r="G5" s="20" t="inlineStr">
        <is>
          <t>Lv.3</t>
        </is>
      </c>
      <c r="H5" s="5" t="n">
        <v>100</v>
      </c>
      <c r="I5" s="5" t="n">
        <v>100</v>
      </c>
      <c r="J5" s="5" t="n">
        <v>70</v>
      </c>
      <c r="K5" s="5" t="n">
        <v>70</v>
      </c>
      <c r="L5" s="5" t="n">
        <v>104</v>
      </c>
      <c r="M5" s="5" t="n">
        <v>86</v>
      </c>
      <c r="N5" s="5">
        <f>SUM(H5:M5)</f>
        <v/>
      </c>
      <c r="O5" s="11">
        <f>RANK(H5,$H$5:$H$30)</f>
        <v/>
      </c>
      <c r="P5" s="11">
        <f>RANK(N5,$N$5:$N$30)</f>
        <v/>
      </c>
    </row>
    <row r="6" ht="26" customHeight="1">
      <c r="A6" s="12" t="inlineStr">
        <is>
          <t>051</t>
        </is>
      </c>
      <c r="B6" s="5" t="n"/>
      <c r="C6" s="13" t="inlineStr">
        <is>
          <t>Popota</t>
        </is>
      </c>
      <c r="D6" s="26" t="inlineStr">
        <is>
          <t>Eau</t>
        </is>
      </c>
      <c r="E6" s="35" t="inlineStr">
        <is>
          <t>BREAK</t>
        </is>
      </c>
      <c r="F6" s="24" t="inlineStr">
        <is>
          <t>🪁 Loisir (Leisure)</t>
        </is>
      </c>
      <c r="G6" s="25" t="inlineStr">
        <is>
          <t>Lv.4</t>
        </is>
      </c>
      <c r="H6" s="5" t="n">
        <v>96</v>
      </c>
      <c r="I6" s="5" t="n">
        <v>92</v>
      </c>
      <c r="J6" s="5" t="n">
        <v>68</v>
      </c>
      <c r="K6" s="5" t="n">
        <v>68</v>
      </c>
      <c r="L6" s="5" t="n">
        <v>80</v>
      </c>
      <c r="M6" s="5" t="n">
        <v>67</v>
      </c>
      <c r="N6" s="5">
        <f>SUM(H6:M6)</f>
        <v/>
      </c>
      <c r="O6" s="11">
        <f>RANK(H6,$H$5:$H$30)</f>
        <v/>
      </c>
      <c r="P6" s="11">
        <f>RANK(N6,$N$5:$N$30)</f>
        <v/>
      </c>
    </row>
    <row r="7" ht="26" customHeight="1">
      <c r="A7" s="16" t="inlineStr">
        <is>
          <t>064</t>
        </is>
      </c>
      <c r="B7" s="5" t="n"/>
      <c r="C7" s="17" t="inlineStr">
        <is>
          <t>Rookey</t>
        </is>
      </c>
      <c r="D7" s="18" t="inlineStr">
        <is>
          <t>Ténèbres</t>
        </is>
      </c>
      <c r="E7" s="35" t="inlineStr">
        <is>
          <t>BREAK</t>
        </is>
      </c>
      <c r="F7" s="19" t="inlineStr">
        <is>
          <t>🔨 Artisanat (Artisanship)</t>
        </is>
      </c>
      <c r="G7" s="20" t="inlineStr">
        <is>
          <t>Lv.3</t>
        </is>
      </c>
      <c r="H7" s="5" t="n">
        <v>92</v>
      </c>
      <c r="I7" s="5" t="n">
        <v>103</v>
      </c>
      <c r="J7" s="5" t="n">
        <v>103</v>
      </c>
      <c r="K7" s="5" t="n">
        <v>70</v>
      </c>
      <c r="L7" s="5" t="n">
        <v>105</v>
      </c>
      <c r="M7" s="5" t="n">
        <v>75</v>
      </c>
      <c r="N7" s="5">
        <f>SUM(H7:M7)</f>
        <v/>
      </c>
      <c r="O7" s="11">
        <f>RANK(H7,$H$5:$H$30)</f>
        <v/>
      </c>
      <c r="P7" s="11">
        <f>RANK(N7,$N$5:$N$30)</f>
        <v/>
      </c>
    </row>
    <row r="8" ht="26" customHeight="1">
      <c r="A8" s="5" t="inlineStr">
        <is>
          <t>073</t>
        </is>
      </c>
      <c r="B8" s="5" t="n"/>
      <c r="C8" s="21" t="inlineStr">
        <is>
          <t>Magmarex</t>
        </is>
      </c>
      <c r="D8" s="31" t="inlineStr">
        <is>
          <t>Feu, Roche</t>
        </is>
      </c>
      <c r="E8" s="35" t="inlineStr">
        <is>
          <t>BREAK</t>
        </is>
      </c>
      <c r="F8" s="9" t="inlineStr">
        <is>
          <t>📦 Portage (Carry)</t>
        </is>
      </c>
      <c r="G8" s="10" t="inlineStr">
        <is>
          <t>Lv.1</t>
        </is>
      </c>
      <c r="H8" s="5" t="n">
        <v>91</v>
      </c>
      <c r="I8" s="5" t="n">
        <v>110</v>
      </c>
      <c r="J8" s="5" t="n">
        <v>70</v>
      </c>
      <c r="K8" s="5" t="n">
        <v>99</v>
      </c>
      <c r="L8" s="5" t="n">
        <v>104</v>
      </c>
      <c r="M8" s="5" t="n">
        <v>75</v>
      </c>
      <c r="N8" s="5">
        <f>SUM(H8:M8)</f>
        <v/>
      </c>
      <c r="O8" s="11">
        <f>RANK(H8,$H$5:$H$30)</f>
        <v/>
      </c>
      <c r="P8" s="11">
        <f>RANK(N8,$N$5:$N$30)</f>
        <v/>
      </c>
    </row>
    <row r="9" ht="26" customHeight="1">
      <c r="A9" s="5" t="inlineStr">
        <is>
          <t>075</t>
        </is>
      </c>
      <c r="B9" s="5" t="n"/>
      <c r="C9" s="21" t="inlineStr">
        <is>
          <t>Minespine</t>
        </is>
      </c>
      <c r="D9" s="22" t="inlineStr">
        <is>
          <t>Roche</t>
        </is>
      </c>
      <c r="E9" s="35" t="inlineStr">
        <is>
          <t>BREAK</t>
        </is>
      </c>
      <c r="F9" s="9" t="inlineStr">
        <is>
          <t>📦 Portage (Carry)</t>
        </is>
      </c>
      <c r="G9" s="10" t="inlineStr">
        <is>
          <t>Lv.1</t>
        </is>
      </c>
      <c r="H9" s="5" t="n">
        <v>90</v>
      </c>
      <c r="I9" s="5" t="n">
        <v>110</v>
      </c>
      <c r="J9" s="5" t="n">
        <v>99</v>
      </c>
      <c r="K9" s="5" t="n">
        <v>60</v>
      </c>
      <c r="L9" s="5" t="n">
        <v>113</v>
      </c>
      <c r="M9" s="5" t="n">
        <v>78</v>
      </c>
      <c r="N9" s="5">
        <f>SUM(H9:M9)</f>
        <v/>
      </c>
      <c r="O9" s="11">
        <f>RANK(H9,$H$5:$H$30)</f>
        <v/>
      </c>
      <c r="P9" s="11">
        <f>RANK(N9,$N$5:$N$30)</f>
        <v/>
      </c>
    </row>
    <row r="10" ht="26" customHeight="1">
      <c r="A10" s="5" t="inlineStr">
        <is>
          <t>004</t>
        </is>
      </c>
      <c r="B10" s="5" t="n"/>
      <c r="C10" s="21" t="inlineStr">
        <is>
          <t>Inferlupa</t>
        </is>
      </c>
      <c r="D10" s="31" t="inlineStr">
        <is>
          <t>Feu, Ténèbres</t>
        </is>
      </c>
      <c r="E10" s="35" t="inlineStr">
        <is>
          <t>BREAK</t>
        </is>
      </c>
      <c r="F10" s="9" t="inlineStr">
        <is>
          <t>📦 Portage (Carry)</t>
        </is>
      </c>
      <c r="G10" s="10" t="inlineStr">
        <is>
          <t>Lv.1</t>
        </is>
      </c>
      <c r="H10" s="5" t="n">
        <v>89</v>
      </c>
      <c r="I10" s="5" t="n">
        <v>95</v>
      </c>
      <c r="J10" s="5" t="n">
        <v>70</v>
      </c>
      <c r="K10" s="5" t="n">
        <v>80</v>
      </c>
      <c r="L10" s="5" t="n">
        <v>113</v>
      </c>
      <c r="M10" s="5" t="n">
        <v>104</v>
      </c>
      <c r="N10" s="5">
        <f>SUM(H10:M10)</f>
        <v/>
      </c>
      <c r="O10" s="11">
        <f>RANK(H10,$H$5:$H$30)</f>
        <v/>
      </c>
      <c r="P10" s="11">
        <f>RANK(N10,$N$5:$N$30)</f>
        <v/>
      </c>
    </row>
    <row r="11" ht="26" customHeight="1">
      <c r="A11" s="5" t="inlineStr">
        <is>
          <t>067</t>
        </is>
      </c>
      <c r="B11" s="5" t="n"/>
      <c r="C11" s="21" t="inlineStr">
        <is>
          <t>Helgon</t>
        </is>
      </c>
      <c r="D11" s="7" t="inlineStr">
        <is>
          <t>Vent</t>
        </is>
      </c>
      <c r="E11" s="35" t="inlineStr">
        <is>
          <t>BREAK</t>
        </is>
      </c>
      <c r="F11" s="9" t="inlineStr">
        <is>
          <t>📦 Portage (Carry)</t>
        </is>
      </c>
      <c r="G11" s="10" t="inlineStr">
        <is>
          <t>Lv.1</t>
        </is>
      </c>
      <c r="H11" s="5" t="n">
        <v>85</v>
      </c>
      <c r="I11" s="5" t="n">
        <v>105</v>
      </c>
      <c r="J11" s="5" t="n">
        <v>111</v>
      </c>
      <c r="K11" s="5" t="n">
        <v>68</v>
      </c>
      <c r="L11" s="5" t="n">
        <v>102</v>
      </c>
      <c r="M11" s="5" t="n">
        <v>84</v>
      </c>
      <c r="N11" s="5">
        <f>SUM(H11:M11)</f>
        <v/>
      </c>
      <c r="O11" s="11">
        <f>RANK(H11,$H$5:$H$30)</f>
        <v/>
      </c>
      <c r="P11" s="11">
        <f>RANK(N11,$N$5:$N$30)</f>
        <v/>
      </c>
    </row>
    <row r="12" ht="26" customHeight="1">
      <c r="A12" s="5" t="inlineStr">
        <is>
          <t>053</t>
        </is>
      </c>
      <c r="B12" s="5" t="n"/>
      <c r="C12" s="21" t="inlineStr">
        <is>
          <t>Panpanta</t>
        </is>
      </c>
      <c r="D12" s="26" t="inlineStr">
        <is>
          <t>Eau</t>
        </is>
      </c>
      <c r="E12" s="35" t="inlineStr">
        <is>
          <t>BREAK</t>
        </is>
      </c>
      <c r="F12" s="24" t="inlineStr">
        <is>
          <t>🪁 Loisir (Leisure)</t>
        </is>
      </c>
      <c r="G12" s="25" t="inlineStr">
        <is>
          <t>Lv.4</t>
        </is>
      </c>
      <c r="H12" s="5" t="n">
        <v>85</v>
      </c>
      <c r="I12" s="5" t="n">
        <v>104</v>
      </c>
      <c r="J12" s="5" t="n">
        <v>70</v>
      </c>
      <c r="K12" s="5" t="n">
        <v>106</v>
      </c>
      <c r="L12" s="5" t="n">
        <v>100</v>
      </c>
      <c r="M12" s="5" t="n">
        <v>80</v>
      </c>
      <c r="N12" s="5">
        <f>SUM(H12:M12)</f>
        <v/>
      </c>
      <c r="O12" s="11">
        <f>RANK(H12,$H$5:$H$30)</f>
        <v/>
      </c>
      <c r="P12" s="11">
        <f>RANK(N12,$N$5:$N$30)</f>
        <v/>
      </c>
    </row>
    <row r="13" ht="26" customHeight="1">
      <c r="A13" s="5" t="inlineStr">
        <is>
          <t>039</t>
        </is>
      </c>
      <c r="B13" s="5" t="n"/>
      <c r="C13" s="21" t="inlineStr">
        <is>
          <t>Pomawk</t>
        </is>
      </c>
      <c r="D13" s="27" t="inlineStr">
        <is>
          <t>Plante</t>
        </is>
      </c>
      <c r="E13" s="35" t="inlineStr">
        <is>
          <t>BREAK</t>
        </is>
      </c>
      <c r="F13" s="9" t="inlineStr">
        <is>
          <t>📦 Portage (Carry)</t>
        </is>
      </c>
      <c r="G13" s="10" t="inlineStr">
        <is>
          <t>Lv.1</t>
        </is>
      </c>
      <c r="H13" s="5" t="n">
        <v>85</v>
      </c>
      <c r="I13" s="5" t="n">
        <v>87</v>
      </c>
      <c r="J13" s="5" t="n">
        <v>80</v>
      </c>
      <c r="K13" s="5" t="n">
        <v>76</v>
      </c>
      <c r="L13" s="5" t="n">
        <v>107</v>
      </c>
      <c r="M13" s="5" t="n">
        <v>100</v>
      </c>
      <c r="N13" s="5">
        <f>SUM(H13:M13)</f>
        <v/>
      </c>
      <c r="O13" s="11">
        <f>RANK(H13,$H$5:$H$30)</f>
        <v/>
      </c>
      <c r="P13" s="11">
        <f>RANK(N13,$N$5:$N$30)</f>
        <v/>
      </c>
    </row>
    <row r="14" ht="26" customHeight="1">
      <c r="A14" s="5" t="inlineStr">
        <is>
          <t>048</t>
        </is>
      </c>
      <c r="B14" s="5" t="n"/>
      <c r="C14" s="21" t="inlineStr">
        <is>
          <t>Bolty</t>
        </is>
      </c>
      <c r="D14" s="14" t="inlineStr">
        <is>
          <t>Foudre</t>
        </is>
      </c>
      <c r="E14" s="35" t="inlineStr">
        <is>
          <t>BREAK</t>
        </is>
      </c>
      <c r="F14" s="19" t="inlineStr">
        <is>
          <t>🔨 Artisanat (Artisanship)</t>
        </is>
      </c>
      <c r="G14" s="20" t="inlineStr">
        <is>
          <t>Lv.3</t>
        </is>
      </c>
      <c r="H14" s="5" t="n">
        <v>85</v>
      </c>
      <c r="I14" s="5" t="n">
        <v>85</v>
      </c>
      <c r="J14" s="5" t="n">
        <v>60</v>
      </c>
      <c r="K14" s="5" t="n">
        <v>60</v>
      </c>
      <c r="L14" s="5" t="n">
        <v>87</v>
      </c>
      <c r="M14" s="5" t="n">
        <v>73</v>
      </c>
      <c r="N14" s="5">
        <f>SUM(H14:M14)</f>
        <v/>
      </c>
      <c r="O14" s="11">
        <f>RANK(H14,$H$5:$H$30)</f>
        <v/>
      </c>
      <c r="P14" s="11">
        <f>RANK(N14,$N$5:$N$30)</f>
        <v/>
      </c>
    </row>
    <row r="15" ht="26" customHeight="1">
      <c r="A15" s="5" t="inlineStr">
        <is>
          <t>072</t>
        </is>
      </c>
      <c r="B15" s="5" t="n"/>
      <c r="C15" s="21" t="inlineStr">
        <is>
          <t>Lavazar</t>
        </is>
      </c>
      <c r="D15" s="31" t="inlineStr">
        <is>
          <t>Feu, Roche</t>
        </is>
      </c>
      <c r="E15" s="35" t="inlineStr">
        <is>
          <t>BREAK</t>
        </is>
      </c>
      <c r="F15" s="9" t="inlineStr">
        <is>
          <t>📦 Portage (Carry)</t>
        </is>
      </c>
      <c r="G15" s="10" t="inlineStr">
        <is>
          <t>Lv.1</t>
        </is>
      </c>
      <c r="H15" s="5" t="n">
        <v>82</v>
      </c>
      <c r="I15" s="5" t="n">
        <v>99</v>
      </c>
      <c r="J15" s="5" t="n">
        <v>63</v>
      </c>
      <c r="K15" s="5" t="n">
        <v>89</v>
      </c>
      <c r="L15" s="5" t="n">
        <v>93</v>
      </c>
      <c r="M15" s="5" t="n">
        <v>68</v>
      </c>
      <c r="N15" s="5">
        <f>SUM(H15:M15)</f>
        <v/>
      </c>
      <c r="O15" s="11">
        <f>RANK(H15,$H$5:$H$30)</f>
        <v/>
      </c>
      <c r="P15" s="11">
        <f>RANK(N15,$N$5:$N$30)</f>
        <v/>
      </c>
    </row>
    <row r="16" ht="26" customHeight="1">
      <c r="A16" s="5" t="inlineStr">
        <is>
          <t>074</t>
        </is>
      </c>
      <c r="B16" s="5" t="n"/>
      <c r="C16" s="21" t="inlineStr">
        <is>
          <t>Geodeback</t>
        </is>
      </c>
      <c r="D16" s="22" t="inlineStr">
        <is>
          <t>Roche</t>
        </is>
      </c>
      <c r="E16" s="35" t="inlineStr">
        <is>
          <t>BREAK</t>
        </is>
      </c>
      <c r="F16" s="9" t="inlineStr">
        <is>
          <t>📦 Portage (Carry)</t>
        </is>
      </c>
      <c r="G16" s="10" t="inlineStr">
        <is>
          <t>Lv.1</t>
        </is>
      </c>
      <c r="H16" s="5" t="n">
        <v>81</v>
      </c>
      <c r="I16" s="5" t="n">
        <v>99</v>
      </c>
      <c r="J16" s="5" t="n">
        <v>89</v>
      </c>
      <c r="K16" s="5" t="n">
        <v>54</v>
      </c>
      <c r="L16" s="5" t="n">
        <v>102</v>
      </c>
      <c r="M16" s="5" t="n">
        <v>70</v>
      </c>
      <c r="N16" s="5">
        <f>SUM(H16:M16)</f>
        <v/>
      </c>
      <c r="O16" s="11">
        <f>RANK(H16,$H$5:$H$30)</f>
        <v/>
      </c>
      <c r="P16" s="11">
        <f>RANK(N16,$N$5:$N$30)</f>
        <v/>
      </c>
    </row>
    <row r="17" ht="26" customHeight="1">
      <c r="A17" s="5" t="inlineStr">
        <is>
          <t>023</t>
        </is>
      </c>
      <c r="B17" s="5" t="n"/>
      <c r="C17" s="21" t="inlineStr">
        <is>
          <t>Tuckin</t>
        </is>
      </c>
      <c r="D17" s="27" t="inlineStr">
        <is>
          <t>Plante</t>
        </is>
      </c>
      <c r="E17" s="35" t="inlineStr">
        <is>
          <t>BREAK</t>
        </is>
      </c>
      <c r="F17" s="19" t="inlineStr">
        <is>
          <t>🔨 Artisanat (Artisanship)</t>
        </is>
      </c>
      <c r="G17" s="20" t="inlineStr">
        <is>
          <t>Lv.3</t>
        </is>
      </c>
      <c r="H17" s="5" t="n">
        <v>80</v>
      </c>
      <c r="I17" s="5" t="n">
        <v>106</v>
      </c>
      <c r="J17" s="5" t="n">
        <v>83</v>
      </c>
      <c r="K17" s="5" t="n">
        <v>110</v>
      </c>
      <c r="L17" s="5" t="n">
        <v>100</v>
      </c>
      <c r="M17" s="5" t="n">
        <v>71</v>
      </c>
      <c r="N17" s="5">
        <f>SUM(H17:M17)</f>
        <v/>
      </c>
      <c r="O17" s="11">
        <f>RANK(H17,$H$5:$H$30)</f>
        <v/>
      </c>
      <c r="P17" s="11">
        <f>RANK(N17,$N$5:$N$30)</f>
        <v/>
      </c>
    </row>
    <row r="18" ht="26" customHeight="1">
      <c r="A18" s="5" t="inlineStr">
        <is>
          <t>026</t>
        </is>
      </c>
      <c r="B18" s="5" t="n"/>
      <c r="C18" s="21" t="inlineStr">
        <is>
          <t>Geoclaw</t>
        </is>
      </c>
      <c r="D18" s="23" t="inlineStr">
        <is>
          <t>Glace</t>
        </is>
      </c>
      <c r="E18" s="35" t="inlineStr">
        <is>
          <t>BREAK</t>
        </is>
      </c>
      <c r="F18" s="9" t="inlineStr">
        <is>
          <t>📦 Portage (Carry)</t>
        </is>
      </c>
      <c r="G18" s="10" t="inlineStr">
        <is>
          <t>Lv.1</t>
        </is>
      </c>
      <c r="H18" s="5" t="n">
        <v>80</v>
      </c>
      <c r="I18" s="5" t="n">
        <v>93</v>
      </c>
      <c r="J18" s="5" t="n">
        <v>113</v>
      </c>
      <c r="K18" s="5" t="n">
        <v>79</v>
      </c>
      <c r="L18" s="5" t="n">
        <v>103</v>
      </c>
      <c r="M18" s="5" t="n">
        <v>82</v>
      </c>
      <c r="N18" s="5">
        <f>SUM(H18:M18)</f>
        <v/>
      </c>
      <c r="O18" s="11">
        <f>RANK(H18,$H$5:$H$30)</f>
        <v/>
      </c>
      <c r="P18" s="11">
        <f>RANK(N18,$N$5:$N$30)</f>
        <v/>
      </c>
    </row>
    <row r="19" ht="26" customHeight="1">
      <c r="A19" s="5" t="inlineStr">
        <is>
          <t>066</t>
        </is>
      </c>
      <c r="B19" s="5" t="n"/>
      <c r="C19" s="21" t="inlineStr">
        <is>
          <t>Helmwhelp</t>
        </is>
      </c>
      <c r="D19" s="7" t="inlineStr">
        <is>
          <t>Vent</t>
        </is>
      </c>
      <c r="E19" s="35" t="inlineStr">
        <is>
          <t>BREAK</t>
        </is>
      </c>
      <c r="F19" s="9" t="inlineStr">
        <is>
          <t>📦 Portage (Carry)</t>
        </is>
      </c>
      <c r="G19" s="10" t="inlineStr">
        <is>
          <t>Lv.1</t>
        </is>
      </c>
      <c r="H19" s="5" t="n">
        <v>76</v>
      </c>
      <c r="I19" s="5" t="n">
        <v>95</v>
      </c>
      <c r="J19" s="5" t="n">
        <v>100</v>
      </c>
      <c r="K19" s="5" t="n">
        <v>61</v>
      </c>
      <c r="L19" s="5" t="n">
        <v>92</v>
      </c>
      <c r="M19" s="5" t="n">
        <v>76</v>
      </c>
      <c r="N19" s="5">
        <f>SUM(H19:M19)</f>
        <v/>
      </c>
      <c r="O19" s="11">
        <f>RANK(H19,$H$5:$H$30)</f>
        <v/>
      </c>
      <c r="P19" s="11">
        <f>RANK(N19,$N$5:$N$30)</f>
        <v/>
      </c>
    </row>
    <row r="20" ht="26" customHeight="1">
      <c r="A20" s="5" t="inlineStr">
        <is>
          <t>087</t>
        </is>
      </c>
      <c r="B20" s="5" t="n"/>
      <c r="C20" s="21" t="inlineStr">
        <is>
          <t>Wavwal</t>
        </is>
      </c>
      <c r="D20" s="23" t="inlineStr">
        <is>
          <t>Glace</t>
        </is>
      </c>
      <c r="E20" s="35" t="inlineStr">
        <is>
          <t>BREAK</t>
        </is>
      </c>
      <c r="F20" s="9" t="inlineStr">
        <is>
          <t>📦 Portage (Carry)</t>
        </is>
      </c>
      <c r="G20" s="10" t="inlineStr">
        <is>
          <t>Lv.1</t>
        </is>
      </c>
      <c r="H20" s="5" t="n">
        <v>75</v>
      </c>
      <c r="I20" s="5" t="n">
        <v>105</v>
      </c>
      <c r="J20" s="5" t="n">
        <v>89</v>
      </c>
      <c r="K20" s="5" t="n">
        <v>93</v>
      </c>
      <c r="L20" s="5" t="n">
        <v>110</v>
      </c>
      <c r="M20" s="5" t="n">
        <v>103</v>
      </c>
      <c r="N20" s="5">
        <f>SUM(H20:M20)</f>
        <v/>
      </c>
      <c r="O20" s="11">
        <f>RANK(H20,$H$5:$H$30)</f>
        <v/>
      </c>
      <c r="P20" s="11">
        <f>RANK(N20,$N$5:$N$30)</f>
        <v/>
      </c>
    </row>
    <row r="21" ht="26" customHeight="1">
      <c r="A21" s="5" t="inlineStr">
        <is>
          <t>010</t>
        </is>
      </c>
      <c r="B21" s="5" t="n"/>
      <c r="C21" s="21" t="inlineStr">
        <is>
          <t>Tubster</t>
        </is>
      </c>
      <c r="D21" s="7" t="inlineStr">
        <is>
          <t>Vent</t>
        </is>
      </c>
      <c r="E21" s="35" t="inlineStr">
        <is>
          <t>BREAK</t>
        </is>
      </c>
      <c r="F21" s="28" t="inlineStr">
        <is>
          <t>—  n.c.</t>
        </is>
      </c>
      <c r="G21" s="29" t="inlineStr">
        <is>
          <t>—</t>
        </is>
      </c>
      <c r="H21" s="5" t="n">
        <v>75</v>
      </c>
      <c r="I21" s="5" t="n">
        <v>108</v>
      </c>
      <c r="J21" s="5" t="n">
        <v>61</v>
      </c>
      <c r="K21" s="5" t="n">
        <v>110</v>
      </c>
      <c r="L21" s="5" t="n">
        <v>101</v>
      </c>
      <c r="M21" s="5" t="n">
        <v>80</v>
      </c>
      <c r="N21" s="5">
        <f>SUM(H21:M21)</f>
        <v/>
      </c>
      <c r="O21" s="11">
        <f>RANK(H21,$H$5:$H$30)</f>
        <v/>
      </c>
      <c r="P21" s="11">
        <f>RANK(N21,$N$5:$N$30)</f>
        <v/>
      </c>
    </row>
    <row r="22" ht="26" customHeight="1">
      <c r="A22" s="5" t="inlineStr">
        <is>
          <t>025</t>
        </is>
      </c>
      <c r="B22" s="5" t="n"/>
      <c r="C22" s="21" t="inlineStr">
        <is>
          <t>Shrubclaw</t>
        </is>
      </c>
      <c r="D22" s="22" t="inlineStr">
        <is>
          <t>Roche, Plante</t>
        </is>
      </c>
      <c r="E22" s="35" t="inlineStr">
        <is>
          <t>BREAK</t>
        </is>
      </c>
      <c r="F22" s="9" t="inlineStr">
        <is>
          <t>📦 Portage (Carry)</t>
        </is>
      </c>
      <c r="G22" s="10" t="inlineStr">
        <is>
          <t>Lv.1</t>
        </is>
      </c>
      <c r="H22" s="5" t="n">
        <v>75</v>
      </c>
      <c r="I22" s="5" t="n">
        <v>90</v>
      </c>
      <c r="J22" s="5" t="n">
        <v>109</v>
      </c>
      <c r="K22" s="5" t="n">
        <v>77</v>
      </c>
      <c r="L22" s="5" t="n">
        <v>99</v>
      </c>
      <c r="M22" s="5" t="n">
        <v>85</v>
      </c>
      <c r="N22" s="5">
        <f>SUM(H22:M22)</f>
        <v/>
      </c>
      <c r="O22" s="11">
        <f>RANK(H22,$H$5:$H$30)</f>
        <v/>
      </c>
      <c r="P22" s="11">
        <f>RANK(N22,$N$5:$N$30)</f>
        <v/>
      </c>
    </row>
    <row r="23" ht="26" customHeight="1">
      <c r="A23" s="5" t="inlineStr">
        <is>
          <t>037</t>
        </is>
      </c>
      <c r="B23" s="5" t="n"/>
      <c r="C23" s="21" t="inlineStr">
        <is>
          <t>Pomegg</t>
        </is>
      </c>
      <c r="D23" s="27" t="inlineStr">
        <is>
          <t>Plante</t>
        </is>
      </c>
      <c r="E23" s="35" t="inlineStr">
        <is>
          <t>BREAK</t>
        </is>
      </c>
      <c r="F23" s="9" t="inlineStr">
        <is>
          <t>📦 Portage (Carry)</t>
        </is>
      </c>
      <c r="G23" s="10" t="inlineStr">
        <is>
          <t>Lv.1</t>
        </is>
      </c>
      <c r="H23" s="5" t="n">
        <v>72</v>
      </c>
      <c r="I23" s="5" t="n">
        <v>74</v>
      </c>
      <c r="J23" s="5" t="n">
        <v>68</v>
      </c>
      <c r="K23" s="5" t="n">
        <v>65</v>
      </c>
      <c r="L23" s="5" t="n">
        <v>91</v>
      </c>
      <c r="M23" s="5" t="n">
        <v>85</v>
      </c>
      <c r="N23" s="5">
        <f>SUM(H23:M23)</f>
        <v/>
      </c>
      <c r="O23" s="11">
        <f>RANK(H23,$H$5:$H$30)</f>
        <v/>
      </c>
      <c r="P23" s="11">
        <f>RANK(N23,$N$5:$N$30)</f>
        <v/>
      </c>
    </row>
    <row r="24" ht="26" customHeight="1">
      <c r="A24" s="5" t="inlineStr">
        <is>
          <t>071</t>
        </is>
      </c>
      <c r="B24" s="5" t="n"/>
      <c r="C24" s="21" t="inlineStr">
        <is>
          <t>Pebbling</t>
        </is>
      </c>
      <c r="D24" s="22" t="inlineStr">
        <is>
          <t>Roche</t>
        </is>
      </c>
      <c r="E24" s="35" t="inlineStr">
        <is>
          <t>BREAK</t>
        </is>
      </c>
      <c r="F24" s="9" t="inlineStr">
        <is>
          <t>📦 Portage (Carry)</t>
        </is>
      </c>
      <c r="G24" s="10" t="inlineStr">
        <is>
          <t>Lv.1</t>
        </is>
      </c>
      <c r="H24" s="5" t="n">
        <v>68</v>
      </c>
      <c r="I24" s="5" t="n">
        <v>83</v>
      </c>
      <c r="J24" s="5" t="n">
        <v>52</v>
      </c>
      <c r="K24" s="5" t="n">
        <v>74</v>
      </c>
      <c r="L24" s="5" t="n">
        <v>79</v>
      </c>
      <c r="M24" s="5" t="n">
        <v>56</v>
      </c>
      <c r="N24" s="5">
        <f>SUM(H24:M24)</f>
        <v/>
      </c>
      <c r="O24" s="11">
        <f>RANK(H24,$H$5:$H$30)</f>
        <v/>
      </c>
      <c r="P24" s="11">
        <f>RANK(N24,$N$5:$N$30)</f>
        <v/>
      </c>
    </row>
    <row r="25" ht="26" customHeight="1">
      <c r="A25" s="5" t="inlineStr">
        <is>
          <t>086</t>
        </is>
      </c>
      <c r="B25" s="5" t="n"/>
      <c r="C25" s="21" t="inlineStr">
        <is>
          <t>Cheekie</t>
        </is>
      </c>
      <c r="D25" s="23" t="inlineStr">
        <is>
          <t>Glace</t>
        </is>
      </c>
      <c r="E25" s="35" t="inlineStr">
        <is>
          <t>BREAK</t>
        </is>
      </c>
      <c r="F25" s="9" t="inlineStr">
        <is>
          <t>📦 Portage (Carry)</t>
        </is>
      </c>
      <c r="G25" s="10" t="inlineStr">
        <is>
          <t>Lv.1</t>
        </is>
      </c>
      <c r="H25" s="5" t="n">
        <v>64</v>
      </c>
      <c r="I25" s="5" t="n">
        <v>89</v>
      </c>
      <c r="J25" s="5" t="n">
        <v>76</v>
      </c>
      <c r="K25" s="5" t="n">
        <v>79</v>
      </c>
      <c r="L25" s="5" t="n">
        <v>92</v>
      </c>
      <c r="M25" s="5" t="n">
        <v>88</v>
      </c>
      <c r="N25" s="5">
        <f>SUM(H25:M25)</f>
        <v/>
      </c>
      <c r="O25" s="11">
        <f>RANK(H25,$H$5:$H$30)</f>
        <v/>
      </c>
      <c r="P25" s="11">
        <f>RANK(N25,$N$5:$N$30)</f>
        <v/>
      </c>
    </row>
    <row r="26" ht="26" customHeight="1">
      <c r="A26" s="5" t="inlineStr">
        <is>
          <t>024</t>
        </is>
      </c>
      <c r="B26" s="5" t="n"/>
      <c r="C26" s="21" t="inlineStr">
        <is>
          <t>Budclaw</t>
        </is>
      </c>
      <c r="D26" s="22" t="inlineStr">
        <is>
          <t>Roche, Plante</t>
        </is>
      </c>
      <c r="E26" s="35" t="inlineStr">
        <is>
          <t>BREAK</t>
        </is>
      </c>
      <c r="F26" s="9" t="inlineStr">
        <is>
          <t>📦 Portage (Carry)</t>
        </is>
      </c>
      <c r="G26" s="10" t="inlineStr">
        <is>
          <t>Lv.1</t>
        </is>
      </c>
      <c r="H26" s="5" t="n">
        <v>64</v>
      </c>
      <c r="I26" s="5" t="n">
        <v>76</v>
      </c>
      <c r="J26" s="5" t="n">
        <v>93</v>
      </c>
      <c r="K26" s="5" t="n">
        <v>65</v>
      </c>
      <c r="L26" s="5" t="n">
        <v>84</v>
      </c>
      <c r="M26" s="5" t="n">
        <v>72</v>
      </c>
      <c r="N26" s="5">
        <f>SUM(H26:M26)</f>
        <v/>
      </c>
      <c r="O26" s="11">
        <f>RANK(H26,$H$5:$H$30)</f>
        <v/>
      </c>
      <c r="P26" s="11">
        <f>RANK(N26,$N$5:$N$30)</f>
        <v/>
      </c>
    </row>
    <row r="27" ht="26" customHeight="1">
      <c r="A27" s="5" t="inlineStr">
        <is>
          <t>065</t>
        </is>
      </c>
      <c r="B27" s="5" t="n"/>
      <c r="C27" s="21" t="inlineStr">
        <is>
          <t>Jawling</t>
        </is>
      </c>
      <c r="D27" s="7" t="inlineStr">
        <is>
          <t>Vent</t>
        </is>
      </c>
      <c r="E27" s="35" t="inlineStr">
        <is>
          <t>BREAK</t>
        </is>
      </c>
      <c r="F27" s="9" t="inlineStr">
        <is>
          <t>📦 Portage (Carry)</t>
        </is>
      </c>
      <c r="G27" s="10" t="inlineStr">
        <is>
          <t>Lv.1</t>
        </is>
      </c>
      <c r="H27" s="5" t="n">
        <v>64</v>
      </c>
      <c r="I27" s="5" t="n">
        <v>79</v>
      </c>
      <c r="J27" s="5" t="n">
        <v>83</v>
      </c>
      <c r="K27" s="5" t="n">
        <v>51</v>
      </c>
      <c r="L27" s="5" t="n">
        <v>76</v>
      </c>
      <c r="M27" s="5" t="n">
        <v>63</v>
      </c>
      <c r="N27" s="5">
        <f>SUM(H27:M27)</f>
        <v/>
      </c>
      <c r="O27" s="11">
        <f>RANK(H27,$H$5:$H$30)</f>
        <v/>
      </c>
      <c r="P27" s="11">
        <f>RANK(N27,$N$5:$N$30)</f>
        <v/>
      </c>
    </row>
    <row r="28" ht="26" customHeight="1">
      <c r="A28" s="5" t="inlineStr">
        <is>
          <t>050</t>
        </is>
      </c>
      <c r="B28" s="5" t="n"/>
      <c r="C28" s="21" t="inlineStr">
        <is>
          <t>Susuta</t>
        </is>
      </c>
      <c r="D28" s="26" t="inlineStr">
        <is>
          <t>Eau</t>
        </is>
      </c>
      <c r="E28" s="35" t="inlineStr">
        <is>
          <t>BREAK</t>
        </is>
      </c>
      <c r="F28" s="24" t="inlineStr">
        <is>
          <t>🪁 Loisir (Leisure)</t>
        </is>
      </c>
      <c r="G28" s="25" t="inlineStr">
        <is>
          <t>Lv.4</t>
        </is>
      </c>
      <c r="H28" s="5" t="n">
        <v>61</v>
      </c>
      <c r="I28" s="5" t="n">
        <v>81</v>
      </c>
      <c r="J28" s="5" t="n">
        <v>53</v>
      </c>
      <c r="K28" s="5" t="n">
        <v>80</v>
      </c>
      <c r="L28" s="5" t="n">
        <v>72</v>
      </c>
      <c r="M28" s="5" t="n">
        <v>64</v>
      </c>
      <c r="N28" s="5">
        <f>SUM(H28:M28)</f>
        <v/>
      </c>
      <c r="O28" s="11">
        <f>RANK(H28,$H$5:$H$30)</f>
        <v/>
      </c>
      <c r="P28" s="11">
        <f>RANK(N28,$N$5:$N$30)</f>
        <v/>
      </c>
    </row>
    <row r="29" ht="26" customHeight="1">
      <c r="A29" s="5" t="inlineStr">
        <is>
          <t>021</t>
        </is>
      </c>
      <c r="B29" s="5" t="n"/>
      <c r="C29" s="21" t="inlineStr">
        <is>
          <t>Hummin</t>
        </is>
      </c>
      <c r="D29" s="27" t="inlineStr">
        <is>
          <t>Plante</t>
        </is>
      </c>
      <c r="E29" s="35" t="inlineStr">
        <is>
          <t>BREAK</t>
        </is>
      </c>
      <c r="F29" s="19" t="inlineStr">
        <is>
          <t>🔨 Artisanat (Artisanship)</t>
        </is>
      </c>
      <c r="G29" s="20" t="inlineStr">
        <is>
          <t>Lv.3</t>
        </is>
      </c>
      <c r="H29" s="5" t="n">
        <v>60</v>
      </c>
      <c r="I29" s="5" t="n">
        <v>94</v>
      </c>
      <c r="J29" s="5" t="n">
        <v>70</v>
      </c>
      <c r="K29" s="5" t="n">
        <v>94</v>
      </c>
      <c r="L29" s="5" t="n">
        <v>80</v>
      </c>
      <c r="M29" s="5" t="n">
        <v>60</v>
      </c>
      <c r="N29" s="5">
        <f>SUM(H29:M29)</f>
        <v/>
      </c>
      <c r="O29" s="11">
        <f>RANK(H29,$H$5:$H$30)</f>
        <v/>
      </c>
      <c r="P29" s="11">
        <f>RANK(N29,$N$5:$N$30)</f>
        <v/>
      </c>
    </row>
    <row r="30" ht="26" customHeight="1">
      <c r="A30" s="5" t="inlineStr">
        <is>
          <t>062</t>
        </is>
      </c>
      <c r="B30" s="5" t="n"/>
      <c r="C30" s="21" t="inlineStr">
        <is>
          <t>Helmut</t>
        </is>
      </c>
      <c r="D30" s="18" t="inlineStr">
        <is>
          <t>Ténèbres</t>
        </is>
      </c>
      <c r="E30" s="35" t="inlineStr">
        <is>
          <t>BREAK</t>
        </is>
      </c>
      <c r="F30" s="9" t="inlineStr">
        <is>
          <t>📦 Portage (Carry)</t>
        </is>
      </c>
      <c r="G30" s="10" t="inlineStr">
        <is>
          <t>Lv.1</t>
        </is>
      </c>
      <c r="H30" s="5" t="n">
        <v>52</v>
      </c>
      <c r="I30" s="5" t="n">
        <v>60</v>
      </c>
      <c r="J30" s="5" t="n">
        <v>68</v>
      </c>
      <c r="K30" s="5" t="n">
        <v>48</v>
      </c>
      <c r="L30" s="5" t="n">
        <v>60</v>
      </c>
      <c r="M30" s="5" t="n">
        <v>51</v>
      </c>
      <c r="N30" s="5">
        <f>SUM(H30:M30)</f>
        <v/>
      </c>
      <c r="O30" s="11">
        <f>RANK(H30,$H$5:$H$30)</f>
        <v/>
      </c>
      <c r="P30" s="11">
        <f>RANK(N30,$N$5:$N$30)</f>
        <v/>
      </c>
    </row>
    <row r="32" ht="40" customHeight="1">
      <c r="A32" s="36" t="inlineStr">
        <is>
          <t>Tri : ATK décroissante (puis Total). Icône : pastille aux couleurs de l'élément, initiales de l'Aniimo, pastille de rôle en bas à droite. Couleur de la colonne Métier = métier ; couleur de « Niv. max métier » = niveau (gris Lv.1 → doré Lv.4). « n.c. » = aucun métier Homeland recensé. Note : dans Excel les images ne suivent pas le filtre automatique — la version web n'a pas ce défaut.</t>
        </is>
      </c>
    </row>
  </sheetData>
  <autoFilter ref="A4:P30"/>
  <mergeCells count="3">
    <mergeCell ref="A1:P1"/>
    <mergeCell ref="A32:P32"/>
    <mergeCell ref="A2:P2"/>
  </mergeCells>
  <conditionalFormatting sqref="H5:H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:N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30">
    <cfRule type="colorScale" priority="3">
      <colorScale>
        <cfvo type="min"/>
        <cfvo type="max"/>
        <color rgb="00FFFFFF"/>
        <color rgb="009BC2E6"/>
      </colorScale>
    </cfRule>
  </conditionalFormatting>
  <conditionalFormatting sqref="J5:J30">
    <cfRule type="colorScale" priority="4">
      <colorScale>
        <cfvo type="min"/>
        <cfvo type="max"/>
        <color rgb="00FFFFFF"/>
        <color rgb="009BC2E6"/>
      </colorScale>
    </cfRule>
  </conditionalFormatting>
  <conditionalFormatting sqref="K5:K30">
    <cfRule type="colorScale" priority="5">
      <colorScale>
        <cfvo type="min"/>
        <cfvo type="max"/>
        <color rgb="00FFFFFF"/>
        <color rgb="009BC2E6"/>
      </colorScale>
    </cfRule>
  </conditionalFormatting>
  <conditionalFormatting sqref="L5:L30">
    <cfRule type="colorScale" priority="6">
      <colorScale>
        <cfvo type="min"/>
        <cfvo type="max"/>
        <color rgb="00FFFFFF"/>
        <color rgb="009BC2E6"/>
      </colorScale>
    </cfRule>
  </conditionalFormatting>
  <conditionalFormatting sqref="M5:M30">
    <cfRule type="colorScale" priority="7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20" customWidth="1" min="5" max="5"/>
    <col width="34" customWidth="1" min="6" max="6"/>
    <col width="13" customWidth="1" min="7" max="7"/>
    <col width="8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4" customWidth="1" min="14" max="14"/>
    <col width="9" customWidth="1" min="15" max="15"/>
    <col width="10" customWidth="1" min="16" max="16"/>
  </cols>
  <sheetData>
    <row r="1">
      <c r="A1" s="1" t="inlineStr">
        <is>
          <t>ANIIMO — Rôle SUPPORT (18)</t>
        </is>
      </c>
    </row>
    <row r="2">
      <c r="A2" s="2" t="inlineStr">
        <is>
          <t>Classés du plus fort au moins fort (ATK décroissante). Mêmes colonnes et mêmes codes couleur que l'onglet général.</t>
        </is>
      </c>
    </row>
    <row r="4" ht="30" customHeight="1">
      <c r="A4" s="3" t="inlineStr">
        <is>
          <t>N°</t>
        </is>
      </c>
      <c r="B4" s="3" t="inlineStr">
        <is>
          <t>Icône</t>
        </is>
      </c>
      <c r="C4" s="3" t="inlineStr">
        <is>
          <t>Nom</t>
        </is>
      </c>
      <c r="D4" s="3" t="inlineStr">
        <is>
          <t>Élément(s)</t>
        </is>
      </c>
      <c r="E4" s="3" t="inlineStr">
        <is>
          <t>Rôle</t>
        </is>
      </c>
      <c r="F4" s="3" t="inlineStr">
        <is>
          <t>Métier (Homeland)</t>
        </is>
      </c>
      <c r="G4" s="3" t="inlineStr">
        <is>
          <t>Niv. max métier</t>
        </is>
      </c>
      <c r="H4" s="3" t="inlineStr">
        <is>
          <t>ATK</t>
        </is>
      </c>
      <c r="I4" s="3" t="inlineStr">
        <is>
          <t>PV (HP)</t>
        </is>
      </c>
      <c r="J4" s="3" t="inlineStr">
        <is>
          <t>DÉF. Phys.</t>
        </is>
      </c>
      <c r="K4" s="3" t="inlineStr">
        <is>
          <t>DÉF. Mag.</t>
        </is>
      </c>
      <c r="L4" s="3" t="inlineStr">
        <is>
          <t>BREAK</t>
        </is>
      </c>
      <c r="M4" s="3" t="inlineStr">
        <is>
          <t>REGEN</t>
        </is>
      </c>
      <c r="N4" s="3" t="inlineStr">
        <is>
          <t>Total attributs</t>
        </is>
      </c>
      <c r="O4" s="3" t="inlineStr">
        <is>
          <t>Rang ATK</t>
        </is>
      </c>
      <c r="P4" s="3" t="inlineStr">
        <is>
          <t>Rang Total</t>
        </is>
      </c>
    </row>
    <row r="5" ht="26" customHeight="1">
      <c r="A5" s="4" t="inlineStr">
        <is>
          <t>033</t>
        </is>
      </c>
      <c r="B5" s="5" t="n"/>
      <c r="C5" s="6" t="inlineStr">
        <is>
          <t>Eklue</t>
        </is>
      </c>
      <c r="D5" s="7" t="inlineStr">
        <is>
          <t>Vent</t>
        </is>
      </c>
      <c r="E5" s="8" t="inlineStr">
        <is>
          <t>SUPPORT</t>
        </is>
      </c>
      <c r="F5" s="9" t="inlineStr">
        <is>
          <t>📦 Portage (Carry)</t>
        </is>
      </c>
      <c r="G5" s="10" t="inlineStr">
        <is>
          <t>Lv.1</t>
        </is>
      </c>
      <c r="H5" s="5" t="n">
        <v>132</v>
      </c>
      <c r="I5" s="5" t="n">
        <v>82</v>
      </c>
      <c r="J5" s="5" t="n">
        <v>83</v>
      </c>
      <c r="K5" s="5" t="n">
        <v>67</v>
      </c>
      <c r="L5" s="5" t="n">
        <v>49</v>
      </c>
      <c r="M5" s="5" t="n">
        <v>105</v>
      </c>
      <c r="N5" s="5">
        <f>SUM(H5:M5)</f>
        <v/>
      </c>
      <c r="O5" s="11">
        <f>RANK(H5,$H$5:$H$22)</f>
        <v/>
      </c>
      <c r="P5" s="11">
        <f>RANK(N5,$N$5:$N$22)</f>
        <v/>
      </c>
    </row>
    <row r="6" ht="26" customHeight="1">
      <c r="A6" s="12" t="inlineStr">
        <is>
          <t>059</t>
        </is>
      </c>
      <c r="B6" s="5" t="n"/>
      <c r="C6" s="13" t="inlineStr">
        <is>
          <t>Bouldus</t>
        </is>
      </c>
      <c r="D6" s="22" t="inlineStr">
        <is>
          <t>Roche</t>
        </is>
      </c>
      <c r="E6" s="8" t="inlineStr">
        <is>
          <t>SUPPORT</t>
        </is>
      </c>
      <c r="F6" s="24" t="inlineStr">
        <is>
          <t>🪁 Loisir (Leisure)</t>
        </is>
      </c>
      <c r="G6" s="25" t="inlineStr">
        <is>
          <t>Lv.4</t>
        </is>
      </c>
      <c r="H6" s="5" t="n">
        <v>119</v>
      </c>
      <c r="I6" s="5" t="n">
        <v>91</v>
      </c>
      <c r="J6" s="5" t="n">
        <v>101</v>
      </c>
      <c r="K6" s="5" t="n">
        <v>54</v>
      </c>
      <c r="L6" s="5" t="n">
        <v>52</v>
      </c>
      <c r="M6" s="5" t="n">
        <v>104</v>
      </c>
      <c r="N6" s="5">
        <f>SUM(H6:M6)</f>
        <v/>
      </c>
      <c r="O6" s="11">
        <f>RANK(H6,$H$5:$H$22)</f>
        <v/>
      </c>
      <c r="P6" s="11">
        <f>RANK(N6,$N$5:$N$22)</f>
        <v/>
      </c>
    </row>
    <row r="7" ht="26" customHeight="1">
      <c r="A7" s="16" t="inlineStr">
        <is>
          <t>077</t>
        </is>
      </c>
      <c r="B7" s="5" t="n"/>
      <c r="C7" s="17" t="inlineStr">
        <is>
          <t>Bailite</t>
        </is>
      </c>
      <c r="D7" s="22" t="inlineStr">
        <is>
          <t>Roche</t>
        </is>
      </c>
      <c r="E7" s="8" t="inlineStr">
        <is>
          <t>SUPPORT</t>
        </is>
      </c>
      <c r="F7" s="9" t="inlineStr">
        <is>
          <t>📦 Portage (Carry)</t>
        </is>
      </c>
      <c r="G7" s="10" t="inlineStr">
        <is>
          <t>Lv.1</t>
        </is>
      </c>
      <c r="H7" s="5" t="n">
        <v>114</v>
      </c>
      <c r="I7" s="5" t="n">
        <v>75</v>
      </c>
      <c r="J7" s="5" t="n">
        <v>85</v>
      </c>
      <c r="K7" s="5" t="n">
        <v>84</v>
      </c>
      <c r="L7" s="5" t="n">
        <v>103</v>
      </c>
      <c r="M7" s="5" t="n">
        <v>75</v>
      </c>
      <c r="N7" s="5">
        <f>SUM(H7:M7)</f>
        <v/>
      </c>
      <c r="O7" s="11">
        <f>RANK(H7,$H$5:$H$22)</f>
        <v/>
      </c>
      <c r="P7" s="11">
        <f>RANK(N7,$N$5:$N$22)</f>
        <v/>
      </c>
    </row>
    <row r="8" ht="26" customHeight="1">
      <c r="A8" s="5" t="inlineStr">
        <is>
          <t>032</t>
        </is>
      </c>
      <c r="B8" s="5" t="n"/>
      <c r="C8" s="21" t="inlineStr">
        <is>
          <t>Eko</t>
        </is>
      </c>
      <c r="D8" s="7" t="inlineStr">
        <is>
          <t>Vent</t>
        </is>
      </c>
      <c r="E8" s="8" t="inlineStr">
        <is>
          <t>SUPPORT</t>
        </is>
      </c>
      <c r="F8" s="9" t="inlineStr">
        <is>
          <t>📦 Portage (Carry)</t>
        </is>
      </c>
      <c r="G8" s="10" t="inlineStr">
        <is>
          <t>Lv.1</t>
        </is>
      </c>
      <c r="H8" s="5" t="n">
        <v>112</v>
      </c>
      <c r="I8" s="5" t="n">
        <v>70</v>
      </c>
      <c r="J8" s="5" t="n">
        <v>70</v>
      </c>
      <c r="K8" s="5" t="n">
        <v>57</v>
      </c>
      <c r="L8" s="5" t="n">
        <v>42</v>
      </c>
      <c r="M8" s="5" t="n">
        <v>89</v>
      </c>
      <c r="N8" s="5">
        <f>SUM(H8:M8)</f>
        <v/>
      </c>
      <c r="O8" s="11">
        <f>RANK(H8,$H$5:$H$22)</f>
        <v/>
      </c>
      <c r="P8" s="11">
        <f>RANK(N8,$N$5:$N$22)</f>
        <v/>
      </c>
    </row>
    <row r="9" ht="26" customHeight="1">
      <c r="A9" s="5" t="inlineStr">
        <is>
          <t>038</t>
        </is>
      </c>
      <c r="B9" s="5" t="n"/>
      <c r="C9" s="21" t="inlineStr">
        <is>
          <t>Dazmand</t>
        </is>
      </c>
      <c r="D9" s="14" t="inlineStr">
        <is>
          <t>Foudre</t>
        </is>
      </c>
      <c r="E9" s="8" t="inlineStr">
        <is>
          <t>SUPPORT</t>
        </is>
      </c>
      <c r="F9" s="9" t="inlineStr">
        <is>
          <t>📦 Portage (Carry)</t>
        </is>
      </c>
      <c r="G9" s="10" t="inlineStr">
        <is>
          <t>Lv.1</t>
        </is>
      </c>
      <c r="H9" s="5" t="n">
        <v>108</v>
      </c>
      <c r="I9" s="5" t="n">
        <v>100</v>
      </c>
      <c r="J9" s="5" t="n">
        <v>81</v>
      </c>
      <c r="K9" s="5" t="n">
        <v>81</v>
      </c>
      <c r="L9" s="5" t="n">
        <v>91</v>
      </c>
      <c r="M9" s="5" t="n">
        <v>71</v>
      </c>
      <c r="N9" s="5">
        <f>SUM(H9:M9)</f>
        <v/>
      </c>
      <c r="O9" s="11">
        <f>RANK(H9,$H$5:$H$22)</f>
        <v/>
      </c>
      <c r="P9" s="11">
        <f>RANK(N9,$N$5:$N$22)</f>
        <v/>
      </c>
    </row>
    <row r="10" ht="26" customHeight="1">
      <c r="A10" s="5" t="inlineStr">
        <is>
          <t>052</t>
        </is>
      </c>
      <c r="B10" s="5" t="n"/>
      <c r="C10" s="21" t="inlineStr">
        <is>
          <t>Piopiota</t>
        </is>
      </c>
      <c r="D10" s="26" t="inlineStr">
        <is>
          <t>Eau</t>
        </is>
      </c>
      <c r="E10" s="8" t="inlineStr">
        <is>
          <t>SUPPORT</t>
        </is>
      </c>
      <c r="F10" s="24" t="inlineStr">
        <is>
          <t>🪁 Loisir (Leisure)</t>
        </is>
      </c>
      <c r="G10" s="25" t="inlineStr">
        <is>
          <t>Lv.4</t>
        </is>
      </c>
      <c r="H10" s="5" t="n">
        <v>108</v>
      </c>
      <c r="I10" s="5" t="n">
        <v>102</v>
      </c>
      <c r="J10" s="5" t="n">
        <v>75</v>
      </c>
      <c r="K10" s="5" t="n">
        <v>75</v>
      </c>
      <c r="L10" s="5" t="n">
        <v>98</v>
      </c>
      <c r="M10" s="5" t="n">
        <v>74</v>
      </c>
      <c r="N10" s="5">
        <f>SUM(H10:M10)</f>
        <v/>
      </c>
      <c r="O10" s="11">
        <f>RANK(H10,$H$5:$H$22)</f>
        <v/>
      </c>
      <c r="P10" s="11">
        <f>RANK(N10,$N$5:$N$22)</f>
        <v/>
      </c>
    </row>
    <row r="11" ht="26" customHeight="1">
      <c r="A11" s="5" t="inlineStr">
        <is>
          <t>036</t>
        </is>
      </c>
      <c r="B11" s="5" t="n"/>
      <c r="C11" s="21" t="inlineStr">
        <is>
          <t>Melloblum</t>
        </is>
      </c>
      <c r="D11" s="27" t="inlineStr">
        <is>
          <t>Plante</t>
        </is>
      </c>
      <c r="E11" s="8" t="inlineStr">
        <is>
          <t>SUPPORT</t>
        </is>
      </c>
      <c r="F11" s="19" t="inlineStr">
        <is>
          <t>🔨 Artisanat (Artisanship)</t>
        </is>
      </c>
      <c r="G11" s="20" t="inlineStr">
        <is>
          <t>Lv.3</t>
        </is>
      </c>
      <c r="H11" s="5" t="n">
        <v>108</v>
      </c>
      <c r="I11" s="5" t="n">
        <v>95</v>
      </c>
      <c r="J11" s="5" t="n">
        <v>70</v>
      </c>
      <c r="K11" s="5" t="n">
        <v>70</v>
      </c>
      <c r="L11" s="5" t="n">
        <v>91</v>
      </c>
      <c r="M11" s="5" t="n">
        <v>78</v>
      </c>
      <c r="N11" s="5">
        <f>SUM(H11:M11)</f>
        <v/>
      </c>
      <c r="O11" s="11">
        <f>RANK(H11,$H$5:$H$22)</f>
        <v/>
      </c>
      <c r="P11" s="11">
        <f>RANK(N11,$N$5:$N$22)</f>
        <v/>
      </c>
    </row>
    <row r="12" ht="26" customHeight="1">
      <c r="A12" s="5" t="inlineStr">
        <is>
          <t>041</t>
        </is>
      </c>
      <c r="B12" s="5" t="n"/>
      <c r="C12" s="21" t="inlineStr">
        <is>
          <t>Fragrancier</t>
        </is>
      </c>
      <c r="D12" s="18" t="inlineStr">
        <is>
          <t>Ténèbres</t>
        </is>
      </c>
      <c r="E12" s="8" t="inlineStr">
        <is>
          <t>SUPPORT</t>
        </is>
      </c>
      <c r="F12" s="33" t="inlineStr">
        <is>
          <t>🌸 Parfumerie (Perfumery) + 🪁 Loisir (Leisure)</t>
        </is>
      </c>
      <c r="G12" s="25" t="inlineStr">
        <is>
          <t>Lv.4</t>
        </is>
      </c>
      <c r="H12" s="5" t="n">
        <v>106</v>
      </c>
      <c r="I12" s="5" t="n">
        <v>84</v>
      </c>
      <c r="J12" s="5" t="n">
        <v>68</v>
      </c>
      <c r="K12" s="5" t="n">
        <v>65</v>
      </c>
      <c r="L12" s="5" t="n">
        <v>81</v>
      </c>
      <c r="M12" s="5" t="n">
        <v>110</v>
      </c>
      <c r="N12" s="5">
        <f>SUM(H12:M12)</f>
        <v/>
      </c>
      <c r="O12" s="11">
        <f>RANK(H12,$H$5:$H$22)</f>
        <v/>
      </c>
      <c r="P12" s="11">
        <f>RANK(N12,$N$5:$N$22)</f>
        <v/>
      </c>
    </row>
    <row r="13" ht="26" customHeight="1">
      <c r="A13" s="5" t="inlineStr">
        <is>
          <t>080</t>
        </is>
      </c>
      <c r="B13" s="5" t="n"/>
      <c r="C13" s="21" t="inlineStr">
        <is>
          <t>Luminelle</t>
        </is>
      </c>
      <c r="D13" s="14" t="inlineStr">
        <is>
          <t>Foudre</t>
        </is>
      </c>
      <c r="E13" s="8" t="inlineStr">
        <is>
          <t>SUPPORT</t>
        </is>
      </c>
      <c r="F13" s="19" t="inlineStr">
        <is>
          <t>🔨 Artisanat (Artisanship)</t>
        </is>
      </c>
      <c r="G13" s="20" t="inlineStr">
        <is>
          <t>Lv.3</t>
        </is>
      </c>
      <c r="H13" s="5" t="n">
        <v>90</v>
      </c>
      <c r="I13" s="5" t="n">
        <v>110</v>
      </c>
      <c r="J13" s="5" t="n">
        <v>85</v>
      </c>
      <c r="K13" s="5" t="n">
        <v>85</v>
      </c>
      <c r="L13" s="5" t="n">
        <v>50</v>
      </c>
      <c r="M13" s="5" t="n">
        <v>120</v>
      </c>
      <c r="N13" s="5">
        <f>SUM(H13:M13)</f>
        <v/>
      </c>
      <c r="O13" s="11">
        <f>RANK(H13,$H$5:$H$22)</f>
        <v/>
      </c>
      <c r="P13" s="11">
        <f>RANK(N13,$N$5:$N$22)</f>
        <v/>
      </c>
    </row>
    <row r="14" ht="26" customHeight="1">
      <c r="A14" s="5" t="inlineStr">
        <is>
          <t>020</t>
        </is>
      </c>
      <c r="B14" s="5" t="n"/>
      <c r="C14" s="21" t="inlineStr">
        <is>
          <t>Dreaple</t>
        </is>
      </c>
      <c r="D14" s="18" t="inlineStr">
        <is>
          <t>Ténèbres</t>
        </is>
      </c>
      <c r="E14" s="8" t="inlineStr">
        <is>
          <t>SUPPORT</t>
        </is>
      </c>
      <c r="F14" s="24" t="inlineStr">
        <is>
          <t>🪁 Loisir (Leisure)</t>
        </is>
      </c>
      <c r="G14" s="25" t="inlineStr">
        <is>
          <t>Lv.4</t>
        </is>
      </c>
      <c r="H14" s="5" t="n">
        <v>90</v>
      </c>
      <c r="I14" s="5" t="n">
        <v>120</v>
      </c>
      <c r="J14" s="5" t="n">
        <v>77</v>
      </c>
      <c r="K14" s="5" t="n">
        <v>108</v>
      </c>
      <c r="L14" s="5" t="n">
        <v>55</v>
      </c>
      <c r="M14" s="5" t="n">
        <v>80</v>
      </c>
      <c r="N14" s="5">
        <f>SUM(H14:M14)</f>
        <v/>
      </c>
      <c r="O14" s="11">
        <f>RANK(H14,$H$5:$H$22)</f>
        <v/>
      </c>
      <c r="P14" s="11">
        <f>RANK(N14,$N$5:$N$22)</f>
        <v/>
      </c>
    </row>
    <row r="15" ht="26" customHeight="1">
      <c r="A15" s="5" t="inlineStr">
        <is>
          <t>019</t>
        </is>
      </c>
      <c r="B15" s="5" t="n"/>
      <c r="C15" s="21" t="inlineStr">
        <is>
          <t>Turbo</t>
        </is>
      </c>
      <c r="D15" s="7" t="inlineStr">
        <is>
          <t>Vent</t>
        </is>
      </c>
      <c r="E15" s="8" t="inlineStr">
        <is>
          <t>SUPPORT</t>
        </is>
      </c>
      <c r="F15" s="24" t="inlineStr">
        <is>
          <t>🪁 Loisir (Leisure)</t>
        </is>
      </c>
      <c r="G15" s="25" t="inlineStr">
        <is>
          <t>Lv.4</t>
        </is>
      </c>
      <c r="H15" s="5" t="n">
        <v>90</v>
      </c>
      <c r="I15" s="5" t="n">
        <v>95</v>
      </c>
      <c r="J15" s="5" t="n">
        <v>80</v>
      </c>
      <c r="K15" s="5" t="n">
        <v>96</v>
      </c>
      <c r="L15" s="5" t="n">
        <v>50</v>
      </c>
      <c r="M15" s="5" t="n">
        <v>109</v>
      </c>
      <c r="N15" s="5">
        <f>SUM(H15:M15)</f>
        <v/>
      </c>
      <c r="O15" s="11">
        <f>RANK(H15,$H$5:$H$22)</f>
        <v/>
      </c>
      <c r="P15" s="11">
        <f>RANK(N15,$N$5:$N$22)</f>
        <v/>
      </c>
    </row>
    <row r="16" ht="26" customHeight="1">
      <c r="A16" s="5" t="inlineStr">
        <is>
          <t>040</t>
        </is>
      </c>
      <c r="B16" s="5" t="n"/>
      <c r="C16" s="21" t="inlineStr">
        <is>
          <t>Dewy</t>
        </is>
      </c>
      <c r="D16" s="18" t="inlineStr">
        <is>
          <t>Ténèbres</t>
        </is>
      </c>
      <c r="E16" s="8" t="inlineStr">
        <is>
          <t>SUPPORT</t>
        </is>
      </c>
      <c r="F16" s="33" t="inlineStr">
        <is>
          <t>🌸 Parfumerie (Perfumery) + 🪁 Loisir (Leisure)</t>
        </is>
      </c>
      <c r="G16" s="25" t="inlineStr">
        <is>
          <t>Lv.4</t>
        </is>
      </c>
      <c r="H16" s="5" t="n">
        <v>90</v>
      </c>
      <c r="I16" s="5" t="n">
        <v>71</v>
      </c>
      <c r="J16" s="5" t="n">
        <v>58</v>
      </c>
      <c r="K16" s="5" t="n">
        <v>55</v>
      </c>
      <c r="L16" s="5" t="n">
        <v>69</v>
      </c>
      <c r="M16" s="5" t="n">
        <v>94</v>
      </c>
      <c r="N16" s="5">
        <f>SUM(H16:M16)</f>
        <v/>
      </c>
      <c r="O16" s="11">
        <f>RANK(H16,$H$5:$H$22)</f>
        <v/>
      </c>
      <c r="P16" s="11">
        <f>RANK(N16,$N$5:$N$22)</f>
        <v/>
      </c>
    </row>
    <row r="17" ht="26" customHeight="1">
      <c r="A17" s="5" t="inlineStr">
        <is>
          <t>008</t>
        </is>
      </c>
      <c r="B17" s="5" t="n"/>
      <c r="C17" s="21" t="inlineStr">
        <is>
          <t>Tromber</t>
        </is>
      </c>
      <c r="D17" s="7" t="inlineStr">
        <is>
          <t>Vent</t>
        </is>
      </c>
      <c r="E17" s="8" t="inlineStr">
        <is>
          <t>SUPPORT</t>
        </is>
      </c>
      <c r="F17" s="28" t="inlineStr">
        <is>
          <t>—  n.c.</t>
        </is>
      </c>
      <c r="G17" s="29" t="inlineStr">
        <is>
          <t>—</t>
        </is>
      </c>
      <c r="H17" s="5" t="n">
        <v>88</v>
      </c>
      <c r="I17" s="5" t="n">
        <v>113</v>
      </c>
      <c r="J17" s="5" t="n">
        <v>79</v>
      </c>
      <c r="K17" s="5" t="n">
        <v>81</v>
      </c>
      <c r="L17" s="5" t="n">
        <v>51</v>
      </c>
      <c r="M17" s="5" t="n">
        <v>110</v>
      </c>
      <c r="N17" s="5">
        <f>SUM(H17:M17)</f>
        <v/>
      </c>
      <c r="O17" s="11">
        <f>RANK(H17,$H$5:$H$22)</f>
        <v/>
      </c>
      <c r="P17" s="11">
        <f>RANK(N17,$N$5:$N$22)</f>
        <v/>
      </c>
    </row>
    <row r="18" ht="26" customHeight="1">
      <c r="A18" s="5" t="inlineStr">
        <is>
          <t>079</t>
        </is>
      </c>
      <c r="B18" s="5" t="n"/>
      <c r="C18" s="21" t="inlineStr">
        <is>
          <t>Veilfloat</t>
        </is>
      </c>
      <c r="D18" s="14" t="inlineStr">
        <is>
          <t>Foudre</t>
        </is>
      </c>
      <c r="E18" s="8" t="inlineStr">
        <is>
          <t>SUPPORT</t>
        </is>
      </c>
      <c r="F18" s="19" t="inlineStr">
        <is>
          <t>🔨 Artisanat (Artisanship)</t>
        </is>
      </c>
      <c r="G18" s="20" t="inlineStr">
        <is>
          <t>Lv.3</t>
        </is>
      </c>
      <c r="H18" s="5" t="n">
        <v>81</v>
      </c>
      <c r="I18" s="5" t="n">
        <v>99</v>
      </c>
      <c r="J18" s="5" t="n">
        <v>77</v>
      </c>
      <c r="K18" s="5" t="n">
        <v>77</v>
      </c>
      <c r="L18" s="5" t="n">
        <v>45</v>
      </c>
      <c r="M18" s="5" t="n">
        <v>107</v>
      </c>
      <c r="N18" s="5">
        <f>SUM(H18:M18)</f>
        <v/>
      </c>
      <c r="O18" s="11">
        <f>RANK(H18,$H$5:$H$22)</f>
        <v/>
      </c>
      <c r="P18" s="11">
        <f>RANK(N18,$N$5:$N$22)</f>
        <v/>
      </c>
    </row>
    <row r="19" ht="26" customHeight="1">
      <c r="A19" s="5" t="inlineStr">
        <is>
          <t>076</t>
        </is>
      </c>
      <c r="B19" s="5" t="n"/>
      <c r="C19" s="21" t="inlineStr">
        <is>
          <t>Cozite</t>
        </is>
      </c>
      <c r="D19" s="22" t="inlineStr">
        <is>
          <t>Roche</t>
        </is>
      </c>
      <c r="E19" s="8" t="inlineStr">
        <is>
          <t>SUPPORT</t>
        </is>
      </c>
      <c r="F19" s="9" t="inlineStr">
        <is>
          <t>📦 Portage (Carry)</t>
        </is>
      </c>
      <c r="G19" s="10" t="inlineStr">
        <is>
          <t>Lv.1</t>
        </is>
      </c>
      <c r="H19" s="5" t="n">
        <v>77</v>
      </c>
      <c r="I19" s="5" t="n">
        <v>77</v>
      </c>
      <c r="J19" s="5" t="n">
        <v>67</v>
      </c>
      <c r="K19" s="5" t="n">
        <v>67</v>
      </c>
      <c r="L19" s="5" t="n">
        <v>50</v>
      </c>
      <c r="M19" s="5" t="n">
        <v>100</v>
      </c>
      <c r="N19" s="5">
        <f>SUM(H19:M19)</f>
        <v/>
      </c>
      <c r="O19" s="11">
        <f>RANK(H19,$H$5:$H$22)</f>
        <v/>
      </c>
      <c r="P19" s="11">
        <f>RANK(N19,$N$5:$N$22)</f>
        <v/>
      </c>
    </row>
    <row r="20" ht="26" customHeight="1">
      <c r="A20" s="5" t="inlineStr">
        <is>
          <t>018</t>
        </is>
      </c>
      <c r="B20" s="5" t="n"/>
      <c r="C20" s="21" t="inlineStr">
        <is>
          <t>Nimbi</t>
        </is>
      </c>
      <c r="D20" s="7" t="inlineStr">
        <is>
          <t>Vent</t>
        </is>
      </c>
      <c r="E20" s="8" t="inlineStr">
        <is>
          <t>SUPPORT</t>
        </is>
      </c>
      <c r="F20" s="24" t="inlineStr">
        <is>
          <t>🪁 Loisir (Leisure)</t>
        </is>
      </c>
      <c r="G20" s="25" t="inlineStr">
        <is>
          <t>Lv.4</t>
        </is>
      </c>
      <c r="H20" s="5" t="n">
        <v>76</v>
      </c>
      <c r="I20" s="5" t="n">
        <v>80</v>
      </c>
      <c r="J20" s="5" t="n">
        <v>68</v>
      </c>
      <c r="K20" s="5" t="n">
        <v>82</v>
      </c>
      <c r="L20" s="5" t="n">
        <v>43</v>
      </c>
      <c r="M20" s="5" t="n">
        <v>93</v>
      </c>
      <c r="N20" s="5">
        <f>SUM(H20:M20)</f>
        <v/>
      </c>
      <c r="O20" s="11">
        <f>RANK(H20,$H$5:$H$22)</f>
        <v/>
      </c>
      <c r="P20" s="11">
        <f>RANK(N20,$N$5:$N$22)</f>
        <v/>
      </c>
    </row>
    <row r="21" ht="26" customHeight="1">
      <c r="A21" s="5" t="inlineStr">
        <is>
          <t>007</t>
        </is>
      </c>
      <c r="B21" s="5" t="n"/>
      <c r="C21" s="21" t="inlineStr">
        <is>
          <t>Chirpi</t>
        </is>
      </c>
      <c r="D21" s="7" t="inlineStr">
        <is>
          <t>Vent</t>
        </is>
      </c>
      <c r="E21" s="8" t="inlineStr">
        <is>
          <t>SUPPORT</t>
        </is>
      </c>
      <c r="F21" s="28" t="inlineStr">
        <is>
          <t>—  n.c.</t>
        </is>
      </c>
      <c r="G21" s="29" t="inlineStr">
        <is>
          <t>—</t>
        </is>
      </c>
      <c r="H21" s="5" t="n">
        <v>75</v>
      </c>
      <c r="I21" s="5" t="n">
        <v>96</v>
      </c>
      <c r="J21" s="5" t="n">
        <v>67</v>
      </c>
      <c r="K21" s="5" t="n">
        <v>69</v>
      </c>
      <c r="L21" s="5" t="n">
        <v>43</v>
      </c>
      <c r="M21" s="5" t="n">
        <v>93</v>
      </c>
      <c r="N21" s="5">
        <f>SUM(H21:M21)</f>
        <v/>
      </c>
      <c r="O21" s="11">
        <f>RANK(H21,$H$5:$H$22)</f>
        <v/>
      </c>
      <c r="P21" s="11">
        <f>RANK(N21,$N$5:$N$22)</f>
        <v/>
      </c>
    </row>
    <row r="22" ht="26" customHeight="1">
      <c r="A22" s="5" t="inlineStr">
        <is>
          <t>078</t>
        </is>
      </c>
      <c r="B22" s="5" t="n"/>
      <c r="C22" s="21" t="inlineStr">
        <is>
          <t>Bulbly</t>
        </is>
      </c>
      <c r="D22" s="14" t="inlineStr">
        <is>
          <t>Foudre</t>
        </is>
      </c>
      <c r="E22" s="8" t="inlineStr">
        <is>
          <t>SUPPORT</t>
        </is>
      </c>
      <c r="F22" s="19" t="inlineStr">
        <is>
          <t>🔨 Artisanat (Artisanship)</t>
        </is>
      </c>
      <c r="G22" s="20" t="inlineStr">
        <is>
          <t>Lv.3</t>
        </is>
      </c>
      <c r="H22" s="5" t="n">
        <v>68</v>
      </c>
      <c r="I22" s="5" t="n">
        <v>83</v>
      </c>
      <c r="J22" s="5" t="n">
        <v>63</v>
      </c>
      <c r="K22" s="5" t="n">
        <v>63</v>
      </c>
      <c r="L22" s="5" t="n">
        <v>37</v>
      </c>
      <c r="M22" s="5" t="n">
        <v>90</v>
      </c>
      <c r="N22" s="5">
        <f>SUM(H22:M22)</f>
        <v/>
      </c>
      <c r="O22" s="11">
        <f>RANK(H22,$H$5:$H$22)</f>
        <v/>
      </c>
      <c r="P22" s="11">
        <f>RANK(N22,$N$5:$N$22)</f>
        <v/>
      </c>
    </row>
    <row r="24" ht="40" customHeight="1">
      <c r="A24" s="36" t="inlineStr">
        <is>
          <t>Tri : ATK décroissante (puis Total). Icône : pastille aux couleurs de l'élément, initiales de l'Aniimo, pastille de rôle en bas à droite. Couleur de la colonne Métier = métier ; couleur de « Niv. max métier » = niveau (gris Lv.1 → doré Lv.4). « n.c. » = aucun métier Homeland recensé. Note : dans Excel les images ne suivent pas le filtre automatique — la version web n'a pas ce défaut.</t>
        </is>
      </c>
    </row>
  </sheetData>
  <autoFilter ref="A4:P22"/>
  <mergeCells count="3">
    <mergeCell ref="A1:P1"/>
    <mergeCell ref="A24:P24"/>
    <mergeCell ref="A2:P2"/>
  </mergeCells>
  <conditionalFormatting sqref="H5:H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:N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22">
    <cfRule type="colorScale" priority="3">
      <colorScale>
        <cfvo type="min"/>
        <cfvo type="max"/>
        <color rgb="00FFFFFF"/>
        <color rgb="009BC2E6"/>
      </colorScale>
    </cfRule>
  </conditionalFormatting>
  <conditionalFormatting sqref="J5:J22">
    <cfRule type="colorScale" priority="4">
      <colorScale>
        <cfvo type="min"/>
        <cfvo type="max"/>
        <color rgb="00FFFFFF"/>
        <color rgb="009BC2E6"/>
      </colorScale>
    </cfRule>
  </conditionalFormatting>
  <conditionalFormatting sqref="K5:K22">
    <cfRule type="colorScale" priority="5">
      <colorScale>
        <cfvo type="min"/>
        <cfvo type="max"/>
        <color rgb="00FFFFFF"/>
        <color rgb="009BC2E6"/>
      </colorScale>
    </cfRule>
  </conditionalFormatting>
  <conditionalFormatting sqref="L5:L22">
    <cfRule type="colorScale" priority="6">
      <colorScale>
        <cfvo type="min"/>
        <cfvo type="max"/>
        <color rgb="00FFFFFF"/>
        <color rgb="009BC2E6"/>
      </colorScale>
    </cfRule>
  </conditionalFormatting>
  <conditionalFormatting sqref="M5:M22">
    <cfRule type="colorScale" priority="7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20" customWidth="1" min="5" max="5"/>
    <col width="34" customWidth="1" min="6" max="6"/>
    <col width="13" customWidth="1" min="7" max="7"/>
    <col width="8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4" customWidth="1" min="14" max="14"/>
    <col width="9" customWidth="1" min="15" max="15"/>
    <col width="10" customWidth="1" min="16" max="16"/>
  </cols>
  <sheetData>
    <row r="1">
      <c r="A1" s="1" t="inlineStr">
        <is>
          <t>ANIIMO — Rôle REGEN (10)</t>
        </is>
      </c>
    </row>
    <row r="2">
      <c r="A2" s="2" t="inlineStr">
        <is>
          <t>Classés du plus fort au moins fort (ATK décroissante). Mêmes colonnes et mêmes codes couleur que l'onglet général.</t>
        </is>
      </c>
    </row>
    <row r="4" ht="30" customHeight="1">
      <c r="A4" s="3" t="inlineStr">
        <is>
          <t>N°</t>
        </is>
      </c>
      <c r="B4" s="3" t="inlineStr">
        <is>
          <t>Icône</t>
        </is>
      </c>
      <c r="C4" s="3" t="inlineStr">
        <is>
          <t>Nom</t>
        </is>
      </c>
      <c r="D4" s="3" t="inlineStr">
        <is>
          <t>Élément(s)</t>
        </is>
      </c>
      <c r="E4" s="3" t="inlineStr">
        <is>
          <t>Rôle</t>
        </is>
      </c>
      <c r="F4" s="3" t="inlineStr">
        <is>
          <t>Métier (Homeland)</t>
        </is>
      </c>
      <c r="G4" s="3" t="inlineStr">
        <is>
          <t>Niv. max métier</t>
        </is>
      </c>
      <c r="H4" s="3" t="inlineStr">
        <is>
          <t>ATK</t>
        </is>
      </c>
      <c r="I4" s="3" t="inlineStr">
        <is>
          <t>PV (HP)</t>
        </is>
      </c>
      <c r="J4" s="3" t="inlineStr">
        <is>
          <t>DÉF. Phys.</t>
        </is>
      </c>
      <c r="K4" s="3" t="inlineStr">
        <is>
          <t>DÉF. Mag.</t>
        </is>
      </c>
      <c r="L4" s="3" t="inlineStr">
        <is>
          <t>BREAK</t>
        </is>
      </c>
      <c r="M4" s="3" t="inlineStr">
        <is>
          <t>REGEN</t>
        </is>
      </c>
      <c r="N4" s="3" t="inlineStr">
        <is>
          <t>Total attributs</t>
        </is>
      </c>
      <c r="O4" s="3" t="inlineStr">
        <is>
          <t>Rang ATK</t>
        </is>
      </c>
      <c r="P4" s="3" t="inlineStr">
        <is>
          <t>Rang Total</t>
        </is>
      </c>
    </row>
    <row r="5" ht="26" customHeight="1">
      <c r="A5" s="4" t="inlineStr">
        <is>
          <t>028</t>
        </is>
      </c>
      <c r="B5" s="5" t="n"/>
      <c r="C5" s="6" t="inlineStr">
        <is>
          <t>Flamerion</t>
        </is>
      </c>
      <c r="D5" s="31" t="inlineStr">
        <is>
          <t>Feu</t>
        </is>
      </c>
      <c r="E5" s="32" t="inlineStr">
        <is>
          <t>REGEN</t>
        </is>
      </c>
      <c r="F5" s="28" t="inlineStr">
        <is>
          <t>—  n.c.</t>
        </is>
      </c>
      <c r="G5" s="29" t="inlineStr">
        <is>
          <t>—</t>
        </is>
      </c>
      <c r="H5" s="5" t="n">
        <v>108</v>
      </c>
      <c r="I5" s="5" t="n">
        <v>80</v>
      </c>
      <c r="J5" s="5" t="n">
        <v>70</v>
      </c>
      <c r="K5" s="5" t="n">
        <v>79</v>
      </c>
      <c r="L5" s="5" t="n">
        <v>50</v>
      </c>
      <c r="M5" s="5" t="n">
        <v>115</v>
      </c>
      <c r="N5" s="5">
        <f>SUM(H5:M5)</f>
        <v/>
      </c>
      <c r="O5" s="11">
        <f>RANK(H5,$H$5:$H$14)</f>
        <v/>
      </c>
      <c r="P5" s="11">
        <f>RANK(N5,$N$5:$N$14)</f>
        <v/>
      </c>
    </row>
    <row r="6" ht="26" customHeight="1">
      <c r="A6" s="12" t="inlineStr">
        <is>
          <t>031</t>
        </is>
      </c>
      <c r="B6" s="5" t="n"/>
      <c r="C6" s="13" t="inlineStr">
        <is>
          <t>Somniwing</t>
        </is>
      </c>
      <c r="D6" s="7" t="inlineStr">
        <is>
          <t>Vent, Plante</t>
        </is>
      </c>
      <c r="E6" s="32" t="inlineStr">
        <is>
          <t>REGEN</t>
        </is>
      </c>
      <c r="F6" s="24" t="inlineStr">
        <is>
          <t>🪁 Loisir (Leisure)</t>
        </is>
      </c>
      <c r="G6" s="25" t="inlineStr">
        <is>
          <t>Lv.4</t>
        </is>
      </c>
      <c r="H6" s="5" t="n">
        <v>92</v>
      </c>
      <c r="I6" s="5" t="n">
        <v>111</v>
      </c>
      <c r="J6" s="5" t="n">
        <v>80</v>
      </c>
      <c r="K6" s="5" t="n">
        <v>80</v>
      </c>
      <c r="L6" s="5" t="n">
        <v>50</v>
      </c>
      <c r="M6" s="5" t="n">
        <v>115</v>
      </c>
      <c r="N6" s="5">
        <f>SUM(H6:M6)</f>
        <v/>
      </c>
      <c r="O6" s="11">
        <f>RANK(H6,$H$5:$H$14)</f>
        <v/>
      </c>
      <c r="P6" s="11">
        <f>RANK(N6,$N$5:$N$14)</f>
        <v/>
      </c>
    </row>
    <row r="7" ht="26" customHeight="1">
      <c r="A7" s="16" t="inlineStr">
        <is>
          <t>027</t>
        </is>
      </c>
      <c r="B7" s="5" t="n"/>
      <c r="C7" s="17" t="inlineStr">
        <is>
          <t>Sparki</t>
        </is>
      </c>
      <c r="D7" s="31" t="inlineStr">
        <is>
          <t>Feu</t>
        </is>
      </c>
      <c r="E7" s="32" t="inlineStr">
        <is>
          <t>REGEN</t>
        </is>
      </c>
      <c r="F7" s="28" t="inlineStr">
        <is>
          <t>—  n.c.</t>
        </is>
      </c>
      <c r="G7" s="29" t="inlineStr">
        <is>
          <t>—</t>
        </is>
      </c>
      <c r="H7" s="5" t="n">
        <v>92</v>
      </c>
      <c r="I7" s="5" t="n">
        <v>68</v>
      </c>
      <c r="J7" s="5" t="n">
        <v>60</v>
      </c>
      <c r="K7" s="5" t="n">
        <v>67</v>
      </c>
      <c r="L7" s="5" t="n">
        <v>41</v>
      </c>
      <c r="M7" s="5" t="n">
        <v>98</v>
      </c>
      <c r="N7" s="5">
        <f>SUM(H7:M7)</f>
        <v/>
      </c>
      <c r="O7" s="11">
        <f>RANK(H7,$H$5:$H$14)</f>
        <v/>
      </c>
      <c r="P7" s="11">
        <f>RANK(N7,$N$5:$N$14)</f>
        <v/>
      </c>
    </row>
    <row r="8" ht="26" customHeight="1">
      <c r="A8" s="5" t="inlineStr">
        <is>
          <t>082</t>
        </is>
      </c>
      <c r="B8" s="5" t="n"/>
      <c r="C8" s="21" t="inlineStr">
        <is>
          <t>Erlath</t>
        </is>
      </c>
      <c r="D8" s="26" t="inlineStr">
        <is>
          <t>Eau</t>
        </is>
      </c>
      <c r="E8" s="32" t="inlineStr">
        <is>
          <t>REGEN</t>
        </is>
      </c>
      <c r="F8" s="28" t="inlineStr">
        <is>
          <t>—  n.c.</t>
        </is>
      </c>
      <c r="G8" s="29" t="inlineStr">
        <is>
          <t>—</t>
        </is>
      </c>
      <c r="H8" s="5" t="n">
        <v>90</v>
      </c>
      <c r="I8" s="5" t="n">
        <v>120</v>
      </c>
      <c r="J8" s="5" t="n">
        <v>80</v>
      </c>
      <c r="K8" s="5" t="n">
        <v>90</v>
      </c>
      <c r="L8" s="5" t="n">
        <v>50</v>
      </c>
      <c r="M8" s="5" t="n">
        <v>110</v>
      </c>
      <c r="N8" s="5">
        <f>SUM(H8:M8)</f>
        <v/>
      </c>
      <c r="O8" s="11">
        <f>RANK(H8,$H$5:$H$14)</f>
        <v/>
      </c>
      <c r="P8" s="11">
        <f>RANK(N8,$N$5:$N$14)</f>
        <v/>
      </c>
    </row>
    <row r="9" ht="26" customHeight="1">
      <c r="A9" s="5" t="inlineStr">
        <is>
          <t>017</t>
        </is>
      </c>
      <c r="B9" s="5" t="n"/>
      <c r="C9" s="21" t="inlineStr">
        <is>
          <t>Leafy</t>
        </is>
      </c>
      <c r="D9" s="27" t="inlineStr">
        <is>
          <t>Plante, Eau</t>
        </is>
      </c>
      <c r="E9" s="32" t="inlineStr">
        <is>
          <t>REGEN</t>
        </is>
      </c>
      <c r="F9" s="9" t="inlineStr">
        <is>
          <t>📦 Portage (Carry)</t>
        </is>
      </c>
      <c r="G9" s="10" t="inlineStr">
        <is>
          <t>Lv.1</t>
        </is>
      </c>
      <c r="H9" s="5" t="n">
        <v>90</v>
      </c>
      <c r="I9" s="5" t="n">
        <v>120</v>
      </c>
      <c r="J9" s="5" t="n">
        <v>82</v>
      </c>
      <c r="K9" s="5" t="n">
        <v>82</v>
      </c>
      <c r="L9" s="5" t="n">
        <v>50</v>
      </c>
      <c r="M9" s="5" t="n">
        <v>106</v>
      </c>
      <c r="N9" s="5">
        <f>SUM(H9:M9)</f>
        <v/>
      </c>
      <c r="O9" s="11">
        <f>RANK(H9,$H$5:$H$14)</f>
        <v/>
      </c>
      <c r="P9" s="11">
        <f>RANK(N9,$N$5:$N$14)</f>
        <v/>
      </c>
    </row>
    <row r="10" ht="26" customHeight="1">
      <c r="A10" s="5" t="inlineStr">
        <is>
          <t>083</t>
        </is>
      </c>
      <c r="B10" s="5" t="n"/>
      <c r="C10" s="21" t="inlineStr">
        <is>
          <t>Besauce</t>
        </is>
      </c>
      <c r="D10" s="14" t="inlineStr">
        <is>
          <t>Foudre</t>
        </is>
      </c>
      <c r="E10" s="32" t="inlineStr">
        <is>
          <t>REGEN</t>
        </is>
      </c>
      <c r="F10" s="19" t="inlineStr">
        <is>
          <t>🔨 Artisanat (Artisanship)</t>
        </is>
      </c>
      <c r="G10" s="20" t="inlineStr">
        <is>
          <t>Lv.3</t>
        </is>
      </c>
      <c r="H10" s="5" t="n">
        <v>89</v>
      </c>
      <c r="I10" s="5" t="n">
        <v>82</v>
      </c>
      <c r="J10" s="5" t="n">
        <v>75</v>
      </c>
      <c r="K10" s="5" t="n">
        <v>75</v>
      </c>
      <c r="L10" s="5" t="n">
        <v>90</v>
      </c>
      <c r="M10" s="5" t="n">
        <v>110</v>
      </c>
      <c r="N10" s="5">
        <f>SUM(H10:M10)</f>
        <v/>
      </c>
      <c r="O10" s="11">
        <f>RANK(H10,$H$5:$H$14)</f>
        <v/>
      </c>
      <c r="P10" s="11">
        <f>RANK(N10,$N$5:$N$14)</f>
        <v/>
      </c>
    </row>
    <row r="11" ht="26" customHeight="1">
      <c r="A11" s="5" t="inlineStr">
        <is>
          <t>022</t>
        </is>
      </c>
      <c r="B11" s="5" t="n"/>
      <c r="C11" s="21" t="inlineStr">
        <is>
          <t>Witchin</t>
        </is>
      </c>
      <c r="D11" s="18" t="inlineStr">
        <is>
          <t>Ténèbres, Plante</t>
        </is>
      </c>
      <c r="E11" s="32" t="inlineStr">
        <is>
          <t>REGEN</t>
        </is>
      </c>
      <c r="F11" s="19" t="inlineStr">
        <is>
          <t>🔨 Artisanat (Artisanship)</t>
        </is>
      </c>
      <c r="G11" s="20" t="inlineStr">
        <is>
          <t>Lv.3</t>
        </is>
      </c>
      <c r="H11" s="5" t="n">
        <v>80</v>
      </c>
      <c r="I11" s="5" t="n">
        <v>115</v>
      </c>
      <c r="J11" s="5" t="n">
        <v>80</v>
      </c>
      <c r="K11" s="5" t="n">
        <v>90</v>
      </c>
      <c r="L11" s="5" t="n">
        <v>50</v>
      </c>
      <c r="M11" s="5" t="n">
        <v>115</v>
      </c>
      <c r="N11" s="5">
        <f>SUM(H11:M11)</f>
        <v/>
      </c>
      <c r="O11" s="11">
        <f>RANK(H11,$H$5:$H$14)</f>
        <v/>
      </c>
      <c r="P11" s="11">
        <f>RANK(N11,$N$5:$N$14)</f>
        <v/>
      </c>
    </row>
    <row r="12" ht="26" customHeight="1">
      <c r="A12" s="5" t="inlineStr">
        <is>
          <t>085</t>
        </is>
      </c>
      <c r="B12" s="5" t="n"/>
      <c r="C12" s="21" t="inlineStr">
        <is>
          <t>Coraliz</t>
        </is>
      </c>
      <c r="D12" s="22" t="inlineStr">
        <is>
          <t>Roche, Eau</t>
        </is>
      </c>
      <c r="E12" s="32" t="inlineStr">
        <is>
          <t>REGEN</t>
        </is>
      </c>
      <c r="F12" s="9" t="inlineStr">
        <is>
          <t>📦 Portage (Carry)</t>
        </is>
      </c>
      <c r="G12" s="10" t="inlineStr">
        <is>
          <t>Lv.1</t>
        </is>
      </c>
      <c r="H12" s="5" t="n">
        <v>78</v>
      </c>
      <c r="I12" s="5" t="n">
        <v>98</v>
      </c>
      <c r="J12" s="5" t="n">
        <v>88</v>
      </c>
      <c r="K12" s="5" t="n">
        <v>93</v>
      </c>
      <c r="L12" s="5" t="n">
        <v>107</v>
      </c>
      <c r="M12" s="5" t="n">
        <v>108</v>
      </c>
      <c r="N12" s="5">
        <f>SUM(H12:M12)</f>
        <v/>
      </c>
      <c r="O12" s="11">
        <f>RANK(H12,$H$5:$H$14)</f>
        <v/>
      </c>
      <c r="P12" s="11">
        <f>RANK(N12,$N$5:$N$14)</f>
        <v/>
      </c>
    </row>
    <row r="13" ht="26" customHeight="1">
      <c r="A13" s="5" t="inlineStr">
        <is>
          <t>081</t>
        </is>
      </c>
      <c r="B13" s="5" t="n"/>
      <c r="C13" s="21" t="inlineStr">
        <is>
          <t>Fahloo</t>
        </is>
      </c>
      <c r="D13" s="26" t="inlineStr">
        <is>
          <t>Eau</t>
        </is>
      </c>
      <c r="E13" s="32" t="inlineStr">
        <is>
          <t>REGEN</t>
        </is>
      </c>
      <c r="F13" s="28" t="inlineStr">
        <is>
          <t>—  n.c.</t>
        </is>
      </c>
      <c r="G13" s="29" t="inlineStr">
        <is>
          <t>—</t>
        </is>
      </c>
      <c r="H13" s="5" t="n">
        <v>76</v>
      </c>
      <c r="I13" s="5" t="n">
        <v>102</v>
      </c>
      <c r="J13" s="5" t="n">
        <v>68</v>
      </c>
      <c r="K13" s="5" t="n">
        <v>76</v>
      </c>
      <c r="L13" s="5" t="n">
        <v>44</v>
      </c>
      <c r="M13" s="5" t="n">
        <v>93</v>
      </c>
      <c r="N13" s="5">
        <f>SUM(H13:M13)</f>
        <v/>
      </c>
      <c r="O13" s="11">
        <f>RANK(H13,$H$5:$H$14)</f>
        <v/>
      </c>
      <c r="P13" s="11">
        <f>RANK(N13,$N$5:$N$14)</f>
        <v/>
      </c>
    </row>
    <row r="14" ht="26" customHeight="1">
      <c r="A14" s="5" t="inlineStr">
        <is>
          <t>084</t>
        </is>
      </c>
      <c r="B14" s="5" t="n"/>
      <c r="C14" s="21" t="inlineStr">
        <is>
          <t>Reefish</t>
        </is>
      </c>
      <c r="D14" s="22" t="inlineStr">
        <is>
          <t>Roche, Eau</t>
        </is>
      </c>
      <c r="E14" s="32" t="inlineStr">
        <is>
          <t>REGEN</t>
        </is>
      </c>
      <c r="F14" s="28" t="inlineStr">
        <is>
          <t>—  n.c.</t>
        </is>
      </c>
      <c r="G14" s="29" t="inlineStr">
        <is>
          <t>—</t>
        </is>
      </c>
      <c r="H14" s="5" t="n">
        <v>66</v>
      </c>
      <c r="I14" s="5" t="n">
        <v>83</v>
      </c>
      <c r="J14" s="5" t="n">
        <v>75</v>
      </c>
      <c r="K14" s="5" t="n">
        <v>79</v>
      </c>
      <c r="L14" s="5" t="n">
        <v>91</v>
      </c>
      <c r="M14" s="5" t="n">
        <v>92</v>
      </c>
      <c r="N14" s="5">
        <f>SUM(H14:M14)</f>
        <v/>
      </c>
      <c r="O14" s="11">
        <f>RANK(H14,$H$5:$H$14)</f>
        <v/>
      </c>
      <c r="P14" s="11">
        <f>RANK(N14,$N$5:$N$14)</f>
        <v/>
      </c>
    </row>
    <row r="16" ht="40" customHeight="1">
      <c r="A16" s="36" t="inlineStr">
        <is>
          <t>Tri : ATK décroissante (puis Total). Icône : pastille aux couleurs de l'élément, initiales de l'Aniimo, pastille de rôle en bas à droite. Couleur de la colonne Métier = métier ; couleur de « Niv. max métier » = niveau (gris Lv.1 → doré Lv.4). « n.c. » = aucun métier Homeland recensé. Note : dans Excel les images ne suivent pas le filtre automatique — la version web n'a pas ce défaut.</t>
        </is>
      </c>
    </row>
  </sheetData>
  <autoFilter ref="A4:P14"/>
  <mergeCells count="3">
    <mergeCell ref="A16:P16"/>
    <mergeCell ref="A1:P1"/>
    <mergeCell ref="A2:P2"/>
  </mergeCells>
  <conditionalFormatting sqref="H5:H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:N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4">
    <cfRule type="colorScale" priority="3">
      <colorScale>
        <cfvo type="min"/>
        <cfvo type="max"/>
        <color rgb="00FFFFFF"/>
        <color rgb="009BC2E6"/>
      </colorScale>
    </cfRule>
  </conditionalFormatting>
  <conditionalFormatting sqref="J5:J14">
    <cfRule type="colorScale" priority="4">
      <colorScale>
        <cfvo type="min"/>
        <cfvo type="max"/>
        <color rgb="00FFFFFF"/>
        <color rgb="009BC2E6"/>
      </colorScale>
    </cfRule>
  </conditionalFormatting>
  <conditionalFormatting sqref="K5:K14">
    <cfRule type="colorScale" priority="5">
      <colorScale>
        <cfvo type="min"/>
        <cfvo type="max"/>
        <color rgb="00FFFFFF"/>
        <color rgb="009BC2E6"/>
      </colorScale>
    </cfRule>
  </conditionalFormatting>
  <conditionalFormatting sqref="L5:L14">
    <cfRule type="colorScale" priority="6">
      <colorScale>
        <cfvo type="min"/>
        <cfvo type="max"/>
        <color rgb="00FFFFFF"/>
        <color rgb="009BC2E6"/>
      </colorScale>
    </cfRule>
  </conditionalFormatting>
  <conditionalFormatting sqref="M5:M14">
    <cfRule type="colorScale" priority="7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Légende &amp; sources</t>
        </is>
      </c>
    </row>
    <row r="3" ht="34" customHeight="1">
      <c r="A3" s="87" t="inlineStr">
        <is>
          <t>Onglets</t>
        </is>
      </c>
      <c r="B3" s="88" t="inlineStr">
        <is>
          <t>« Tous les Aniimos », « Métiers », « Puissance des compétences », « Team Fulmintis », puis un onglet par rôle : DPS, HEAL, BREAK, SUPPORT, REGEN.</t>
        </is>
      </c>
    </row>
    <row r="4" ht="34" customHeight="1">
      <c r="A4" s="87" t="inlineStr">
        <is>
          <t>Icône</t>
        </is>
      </c>
      <c r="B4" s="88" t="inlineStr">
        <is>
          <t>Pastille générée aux couleurs de l'élément, avec les initiales de l'Aniimo et une pastille de rôle en bas à droite. Ce ne sont pas les illustrations officielles du jeu : elles ne sont pas récupérables depuis les sources consultables.</t>
        </is>
      </c>
    </row>
    <row r="5" ht="34" customHeight="1">
      <c r="A5" s="87" t="inlineStr">
        <is>
          <t>Tri</t>
        </is>
      </c>
      <c r="B5" s="88" t="inlineStr">
        <is>
          <t>ATK décroissante (du plus fort au moins fort), départage par le total d'attributs. Colonnes « Rang ATK » et « Rang Total » pour les deux critères.</t>
        </is>
      </c>
    </row>
    <row r="6" ht="34" customHeight="1">
      <c r="A6" s="87" t="inlineStr">
        <is>
          <t>ATK</t>
        </is>
      </c>
      <c r="B6" s="88" t="inlineStr">
        <is>
          <t>Aniimo n'a qu'UNE statistique d'attaque : ATK. Pas d'« attaque physique » et « magique » séparées — c'est la COMPÉTENCE qui est physique ou magique (colonne Type de l'onglet Puissance). La distinction existe en revanche en DÉFENSE.</t>
        </is>
      </c>
    </row>
    <row r="7" ht="34" customHeight="1">
      <c r="A7" s="87" t="inlineStr">
        <is>
          <t>Type Physique / Magique</t>
        </is>
      </c>
      <c r="B7" s="88" t="inlineStr">
        <is>
          <t>Type dominant des compétences offensives. « (déduit) » = aucun tag publié, déduit de la lignée d'évolution ou de la portée de l'attaque de base. « Soin » = kit sans dégâts.</t>
        </is>
      </c>
    </row>
    <row r="8" ht="34" customHeight="1">
      <c r="A8" s="87" t="inlineStr">
        <is>
          <t>Total attributs</t>
        </is>
      </c>
      <c r="B8" s="88" t="inlineStr">
        <is>
          <t>Somme PV + ATK + DÉF. Phys. + DÉF. Mag. + BREAK + REGEN (formule =SUM).</t>
        </is>
      </c>
    </row>
    <row r="9" ht="34" customHeight="1">
      <c r="A9" s="87" t="inlineStr">
        <is>
          <t>Métier (Homeland)</t>
        </is>
      </c>
      <c r="B9" s="88" t="inlineStr">
        <is>
          <t>Portage (Carry), Artisanat (Artisanship), Loisir (Leisure), Parfumerie (Perfumery). Loisir = vert · Artisanat = bleu · Parfumerie = rose · Portage = orange.</t>
        </is>
      </c>
    </row>
    <row r="10" ht="34" customHeight="1">
      <c r="A10" s="87" t="inlineStr">
        <is>
          <t>Niv. max métier</t>
        </is>
      </c>
      <c r="B10" s="88" t="inlineStr">
        <is>
          <t>Niveau le plus élevé atteint par ce métier sur le roster : Loisir Lv.4, Artisanat Lv.3, Parfumerie Lv.3, Portage Lv.1. Aucun Aniimo n'atteint Portage Lv.2 ou plus.</t>
        </is>
      </c>
    </row>
    <row r="11" ht="34" customHeight="1">
      <c r="A11" s="87" t="inlineStr">
        <is>
          <t>Rendement</t>
        </is>
      </c>
      <c r="B11" s="88" t="inlineStr">
        <is>
          <t>Lv.1 = 60 charge/min · Lv.2 = 75 · Lv.3 = 90 · Lv.4 = 105.</t>
        </is>
      </c>
    </row>
    <row r="12" ht="34" customHeight="1">
      <c r="A12" s="87" t="inlineStr">
        <is>
          <t>Couleurs des éléments</t>
        </is>
      </c>
      <c r="B12" s="88" t="inlineStr">
        <is>
          <t>Feu rouge · Eau bleu · Plante vert · Glace cyan · Foudre jaune · Ténèbres violet · Roche brun · Vent turquoise · Lumière or. Pour un Aniimo à deux éléments, c'est le premier qui donne la couleur.</t>
        </is>
      </c>
    </row>
    <row r="13" ht="34" customHeight="1">
      <c r="A13" s="87" t="inlineStr">
        <is>
          <t>Puissance (Might)</t>
        </is>
      </c>
      <c r="B13" s="88" t="inlineStr">
        <is>
          <t>Puissance brute d'une compétence. Dégâts réels = puissance × ATK × multiplicateur élémentaire. Les compétences de soin/bouclier ont une puissance de 0.</t>
        </is>
      </c>
    </row>
    <row r="15" ht="34" customHeight="1">
      <c r="A15" s="87" t="inlineStr">
        <is>
          <t>Sources</t>
        </is>
      </c>
      <c r="B15" s="88" t="inlineStr">
        <is>
          <t>wiki.aniimo.com — wiki officiel (statistiques de base)</t>
        </is>
      </c>
    </row>
    <row r="16" ht="34" customHeight="1">
      <c r="A16" s="87" t="inlineStr"/>
      <c r="B16" s="88" t="inlineStr">
        <is>
          <t>aniimowiki.com/aniimo/ — index complet (éléments et rôles)</t>
        </is>
      </c>
    </row>
    <row r="17" ht="34" customHeight="1">
      <c r="A17" s="87" t="inlineStr"/>
      <c r="B17" s="88" t="inlineStr">
        <is>
          <t>aniimotools.dev — Aniilog, compétences, système Homeland</t>
        </is>
      </c>
    </row>
    <row r="19" ht="34" customHeight="1">
      <c r="A19" s="87" t="inlineStr">
        <is>
          <t>Généré le</t>
        </is>
      </c>
      <c r="B19" s="88" t="inlineStr">
        <is>
          <t>22 août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2026-08-23T04:53:59Z</dcterms:created>
  <dcterms:modified xmlns:dcterms="http://purl.org/dc/terms/" xmlns:xsi="http://www.w3.org/2001/XMLSchema-instance" xsi:type="dcterms:W3CDTF">2026-08-23T04:53:59Z</dcterms:modified>
</cp:coreProperties>
</file>